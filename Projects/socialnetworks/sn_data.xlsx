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Audience Duplication" sheetId="2" r:id="rId5"/>
    <sheet state="visible" name="Customer Nodes" sheetId="3" r:id="rId6"/>
    <sheet state="visible" name="User-Product" sheetId="4" r:id="rId7"/>
    <sheet state="visible" name="User-User" sheetId="5" r:id="rId8"/>
    <sheet state="visible" name="Product-Product" sheetId="6" r:id="rId9"/>
    <sheet state="hidden" name="User-User_Gephi_Node" sheetId="7" r:id="rId10"/>
    <sheet state="hidden" name="Sheet7" sheetId="8" r:id="rId11"/>
  </sheets>
  <definedNames/>
  <calcPr/>
</workbook>
</file>

<file path=xl/sharedStrings.xml><?xml version="1.0" encoding="utf-8"?>
<sst xmlns="http://schemas.openxmlformats.org/spreadsheetml/2006/main" count="800" uniqueCount="114">
  <si>
    <t>Timestamp</t>
  </si>
  <si>
    <t>Score</t>
  </si>
  <si>
    <r>
      <t xml:space="preserve">Which of the following Bartholomew Bear variations would you consider purchasing </t>
    </r>
    <r>
      <rPr>
        <rFont val="Arial"/>
        <color theme="1"/>
        <u/>
      </rPr>
      <t>for yourself</t>
    </r>
    <r>
      <rPr>
        <rFont val="Arial"/>
        <color theme="1"/>
      </rPr>
      <t xml:space="preserve">? </t>
    </r>
    <r>
      <rPr>
        <rFont val="Arial"/>
        <b/>
        <color theme="1"/>
      </rPr>
      <t>(Select all that apply)</t>
    </r>
  </si>
  <si>
    <t>If the variations above were available, would you still consider purchasing the original Bartholomew Bear for yourself?</t>
  </si>
  <si>
    <t>Column 8</t>
  </si>
  <si>
    <r>
      <t xml:space="preserve">Which of the following attributes </t>
    </r>
    <r>
      <rPr>
        <rFont val="Arial"/>
        <b/>
        <color theme="1"/>
      </rPr>
      <t>most strongly</t>
    </r>
    <r>
      <rPr>
        <rFont val="Arial"/>
        <color theme="1"/>
      </rPr>
      <t xml:space="preserve"> determines your decision to purchase a Bartholomew Bear?</t>
    </r>
  </si>
  <si>
    <t>Gender</t>
  </si>
  <si>
    <t>Age</t>
  </si>
  <si>
    <t>Bathrobe Bartholomew, Bumblebee Bartholomew, Strawberry Bartholomew</t>
  </si>
  <si>
    <t>Yes</t>
  </si>
  <si>
    <t>Cuteness</t>
  </si>
  <si>
    <t>Female</t>
  </si>
  <si>
    <t>Bathrobe Bartholomew, Bedtime Bartholomew, Pumpkin Bartholomew</t>
  </si>
  <si>
    <t>Male</t>
  </si>
  <si>
    <t>Heartthrob Bartholomew, Strawberry Bartholomew</t>
  </si>
  <si>
    <t>No</t>
  </si>
  <si>
    <t>Eggplant Bartholomew</t>
  </si>
  <si>
    <t>Bathrobe Bartholomew, Eggplant Bartholomew, Heartthrob Bartholomew, Bat Bartholomew, Bumblebee Bartholomew, Strawberry Bartholomew, Winter Pajama Bartholomew, Bedtime Bartholomew, Pumpkin Bartholomew</t>
  </si>
  <si>
    <t>Strawberry Bartholomew, Pumpkin Bartholomew</t>
  </si>
  <si>
    <t>Bathrobe Bartholomew, Eggplant Bartholomew, Bat Bartholomew, Strawberry Bartholomew, Winter Pajama Bartholomew, Pumpkin Bartholomew</t>
  </si>
  <si>
    <t>Bathrobe Bartholomew, Eggplant Bartholomew, Strawberry Bartholomew</t>
  </si>
  <si>
    <t>Eggplant Bartholomew, Heartthrob Bartholomew, Bat Bartholomew, Bumblebee Bartholomew, Strawberry Bartholomew, Pumpkin Bartholomew</t>
  </si>
  <si>
    <t>Bumblebee Bartholomew, Strawberry Bartholomew, Pumpkin Bartholomew</t>
  </si>
  <si>
    <t>Uniqueness</t>
  </si>
  <si>
    <t>Strawberry Bartholomew</t>
  </si>
  <si>
    <t>Bathrobe Bartholomew</t>
  </si>
  <si>
    <t>Huggability</t>
  </si>
  <si>
    <t>Bumblebee Bartholomew, Pumpkin Bartholomew</t>
  </si>
  <si>
    <t>Eggplant Bartholomew, Heartthrob Bartholomew, Bedtime Bartholomew</t>
  </si>
  <si>
    <t>Heartthrob Bartholomew</t>
  </si>
  <si>
    <t>Bathrobe Bartholomew, Eggplant Bartholomew, Bat Bartholomew</t>
  </si>
  <si>
    <t>Collectability</t>
  </si>
  <si>
    <t>Bathrobe Bartholomew, Eggplant Bartholomew, Bat Bartholomew, Bumblebee Bartholomew, Winter Pajama Bartholomew, Bedtime Bartholomew</t>
  </si>
  <si>
    <t>Bathrobe Bartholomew, Eggplant Bartholomew, Bat Bartholomew, Pumpkin Bartholomew</t>
  </si>
  <si>
    <t>Winter Pajama Bartholomew</t>
  </si>
  <si>
    <t>Bathrobe Bartholomew, Bedtime Bartholomew</t>
  </si>
  <si>
    <t>Bathrobe Bartholomew, Bat Bartholomew, Bumblebee Bartholomew, Strawberry Bartholomew, Winter Pajama Bartholomew, Bedtime Bartholomew, Pumpkin Bartholomew</t>
  </si>
  <si>
    <t>Bathrobe Bartholomew, Heartthrob Bartholomew, Strawberry Bartholomew, Winter Pajama Bartholomew</t>
  </si>
  <si>
    <t>Eggplant Bartholomew, Heartthrob Bartholomew, Strawberry Bartholomew, Pumpkin Bartholomew</t>
  </si>
  <si>
    <t>Eggplant Bartholomew, Heartthrob Bartholomew</t>
  </si>
  <si>
    <t>Eggplant Bartholomew, Bumblebee Bartholomew, Pumpkin Bartholomew</t>
  </si>
  <si>
    <t>Bathrobe Bartholomew, Bumblebee Bartholomew, Strawberry Bartholomew, Winter Pajama Bartholomew, Bedtime Bartholomew</t>
  </si>
  <si>
    <t>Bathrobe Bartholomew, Eggplant Bartholomew, Heartthrob Bartholomew, Bat Bartholomew, Bumblebee Bartholomew, Strawberry Bartholomew, Pumpkin Bartholomew</t>
  </si>
  <si>
    <t>Bathrobe Bartholomew, Strawberry Bartholomew, Winter Pajama Bartholomew</t>
  </si>
  <si>
    <t>Eggplant Bartholomew, Heartthrob Bartholomew, Bumblebee Bartholomew, Strawberry Bartholomew, Bedtime Bartholomew, Pumpkin Bartholomew</t>
  </si>
  <si>
    <t>Bathrobe</t>
  </si>
  <si>
    <t>Eggplant</t>
  </si>
  <si>
    <t>Heartthrob</t>
  </si>
  <si>
    <t>Bat</t>
  </si>
  <si>
    <t>Bumblebee</t>
  </si>
  <si>
    <t>Strawberry</t>
  </si>
  <si>
    <t>Winter Pajama</t>
  </si>
  <si>
    <t>Bedtime</t>
  </si>
  <si>
    <t>Pumpkin</t>
  </si>
  <si>
    <t>OG</t>
  </si>
  <si>
    <t>Shared Audience</t>
  </si>
  <si>
    <t>%V</t>
  </si>
  <si>
    <t>%H</t>
  </si>
  <si>
    <t>ID</t>
  </si>
  <si>
    <t>Label</t>
  </si>
  <si>
    <t>Values</t>
  </si>
  <si>
    <t>OG Bear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</si>
  <si>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</si>
  <si>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</si>
  <si>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</si>
  <si>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</si>
  <si>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</si>
  <si>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</si>
  <si>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</si>
  <si>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</si>
  <si>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</si>
  <si>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</si>
  <si>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</si>
  <si>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</si>
  <si>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</si>
  <si>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</si>
  <si>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</si>
  <si>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</si>
  <si>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</si>
  <si>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</si>
  <si>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</si>
  <si>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</si>
  <si>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</si>
  <si>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</si>
  <si>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</si>
  <si>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</si>
  <si>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</si>
  <si>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</si>
  <si>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</si>
  <si>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</si>
  <si>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</si>
  <si>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</si>
  <si>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</si>
  <si>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</si>
  <si>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</si>
  <si>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</si>
  <si>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</si>
  <si>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</si>
  <si>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</si>
  <si>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</si>
  <si>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</si>
  <si>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</si>
  <si>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</si>
  <si>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</si>
  <si>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 xml:space="preserve">Bathrobe </t>
  </si>
  <si>
    <t>Degree</t>
  </si>
  <si>
    <t>Weighted Degree</t>
  </si>
  <si>
    <t>Clustering Coefficient</t>
  </si>
  <si>
    <t>Number of Triangles</t>
  </si>
  <si>
    <t>Eccentricity</t>
  </si>
  <si>
    <t>Closeness Centrality</t>
  </si>
  <si>
    <t>Harmonic Closeness Centrality</t>
  </si>
  <si>
    <t>Betweenness Centrality</t>
  </si>
  <si>
    <t>Modularity 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</si>
</sst>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b/>
      <sz val="12.0"/>
      <color theme="1"/>
      <name val="Raleway"/>
    </font>
    <font>
      <sz val="12.0"/>
      <color theme="1"/>
      <name val="Raleway"/>
    </font>
    <font>
      <sz val="11.0"/>
      <color theme="1"/>
      <name val="Raleway"/>
    </font>
    <font>
      <b/>
      <sz val="11.0"/>
      <color theme="1"/>
      <name val="Raleway"/>
    </font>
    <font>
      <b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6CFE0"/>
        <bgColor rgb="FFD6CFE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</fills>
  <borders count="19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D6CFE0"/>
      </right>
      <top>
        <color rgb="FF442F65"/>
      </top>
      <bottom style="thin">
        <color rgb="FF442F65"/>
      </bottom>
    </border>
    <border>
      <left style="thin">
        <color rgb="FFD6CFE0"/>
      </left>
      <right style="thin">
        <color rgb="FFD6CFE0"/>
      </right>
      <top>
        <color rgb="FF442F65"/>
      </top>
      <bottom style="thin">
        <color rgb="FF442F65"/>
      </bottom>
    </border>
    <border>
      <left style="thin">
        <color rgb="FFD6CFE0"/>
      </left>
      <right style="thin">
        <color rgb="FF442F65"/>
      </right>
      <top>
        <color rgb="FF442F65"/>
      </top>
      <bottom style="thin">
        <color rgb="FF442F65"/>
      </bottom>
    </border>
    <border>
      <left style="thick">
        <color rgb="FF9900FF"/>
      </left>
      <top style="thick">
        <color rgb="FF9900FF"/>
      </top>
    </border>
    <border>
      <right style="thick">
        <color rgb="FF9900FF"/>
      </right>
      <top style="thick">
        <color rgb="FF9900FF"/>
      </top>
    </border>
    <border>
      <left style="thick">
        <color rgb="FF9900FF"/>
      </left>
    </border>
    <border>
      <right style="thick">
        <color rgb="FF9900FF"/>
      </right>
    </border>
    <border>
      <left style="thick">
        <color rgb="FF9900FF"/>
      </left>
      <bottom style="thick">
        <color rgb="FF9900FF"/>
      </bottom>
    </border>
    <border>
      <right style="thick">
        <color rgb="FF9900FF"/>
      </right>
      <bottom style="thick">
        <color rgb="FF9900F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2" fontId="1" numFmtId="0" xfId="0" applyAlignment="1" applyBorder="1" applyFill="1" applyFont="1">
      <alignment readingOrder="0" shrinkToFit="0" vertical="center" wrapText="0"/>
    </xf>
    <xf borderId="11" fillId="2" fontId="1" numFmtId="0" xfId="0" applyAlignment="1" applyBorder="1" applyFont="1">
      <alignment readingOrder="0" shrinkToFit="0" vertical="center" wrapText="0"/>
    </xf>
    <xf borderId="12" fillId="2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9" xfId="0" applyFont="1" applyNumberFormat="1"/>
    <xf borderId="0" fillId="4" fontId="1" numFmtId="9" xfId="0" applyFill="1" applyFont="1" applyNumberFormat="1"/>
    <xf borderId="0" fillId="5" fontId="1" numFmtId="9" xfId="0" applyFill="1" applyFont="1" applyNumberFormat="1"/>
    <xf borderId="15" fillId="0" fontId="2" numFmtId="0" xfId="0" applyAlignment="1" applyBorder="1" applyFont="1">
      <alignment horizontal="right" readingOrder="0" shrinkToFit="0" vertical="bottom" wrapText="0"/>
    </xf>
    <xf borderId="16" fillId="0" fontId="1" numFmtId="9" xfId="0" applyBorder="1" applyFont="1" applyNumberFormat="1"/>
    <xf borderId="0" fillId="3" fontId="2" numFmtId="0" xfId="0" applyAlignment="1" applyFont="1">
      <alignment horizontal="right" readingOrder="0" shrinkToFit="0" vertical="bottom" wrapText="0"/>
    </xf>
    <xf borderId="0" fillId="6" fontId="1" numFmtId="9" xfId="0" applyFill="1" applyFont="1" applyNumberFormat="1"/>
    <xf borderId="0" fillId="7" fontId="1" numFmtId="9" xfId="0" applyFill="1" applyFont="1" applyNumberFormat="1"/>
    <xf borderId="0" fillId="7" fontId="1" numFmtId="9" xfId="0" applyAlignment="1" applyFont="1" applyNumberFormat="1">
      <alignment readingOrder="0"/>
    </xf>
    <xf borderId="0" fillId="5" fontId="1" numFmtId="9" xfId="0" applyAlignment="1" applyFont="1" applyNumberFormat="1">
      <alignment readingOrder="0"/>
    </xf>
    <xf borderId="0" fillId="8" fontId="1" numFmtId="9" xfId="0" applyFill="1" applyFont="1" applyNumberFormat="1"/>
    <xf borderId="17" fillId="0" fontId="2" numFmtId="0" xfId="0" applyAlignment="1" applyBorder="1" applyFont="1">
      <alignment horizontal="right" readingOrder="0" shrinkToFit="0" vertical="bottom" wrapText="0"/>
    </xf>
    <xf borderId="18" fillId="0" fontId="1" numFmtId="9" xfId="0" applyBorder="1" applyFont="1" applyNumberFormat="1"/>
    <xf borderId="0" fillId="0" fontId="3" numFmtId="9" xfId="0" applyFont="1" applyNumberFormat="1"/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4" fontId="6" numFmtId="0" xfId="0" applyFont="1"/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3">
    <tableStyle count="4" pivot="0" name="Form Responses 1-style">
      <tableStyleElement dxfId="1" type="headerRow"/>
      <tableStyleElement dxfId="2" type="firstRowStripe"/>
      <tableStyleElement dxfId="3" type="secondRowStripe"/>
      <tableStyleElement dxfId="4" type="totalRow"/>
    </tableStyle>
    <tableStyle count="2" pivot="0" name="Customer Nodes-style">
      <tableStyleElement dxfId="2" type="firstRowStripe"/>
      <tableStyleElement dxfId="3" type="secondRowStripe"/>
    </tableStyle>
    <tableStyle count="2" pivot="0" name="User-Product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H44" displayName="Form_Responses1" name="Form_Responses1" id="1">
  <tableColumns count="8">
    <tableColumn name="Timestamp" id="1"/>
    <tableColumn name="Score" id="2"/>
    <tableColumn name="Which of the following Bartholomew Bear variations would you consider purchasing for yourself? (Select all that apply)" id="3"/>
    <tableColumn name="If the variations above were available, would you still consider purchasing the original Bartholomew Bear for yourself?" id="4"/>
    <tableColumn name="Column 8" id="5"/>
    <tableColumn name="Which of the following attributes most strongly determines your decision to purchase a Bartholomew Bear?" id="6"/>
    <tableColumn name="Gender" id="7"/>
    <tableColumn totalsRowFunction="custom" name="Age" id="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C2:F43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Customer Nodes-style" showColumnStripes="0" showFirstColumn="1" showLastColumn="1" showRowStripes="1"/>
</table>
</file>

<file path=xl/tables/table3.xml><?xml version="1.0" encoding="utf-8"?>
<table xmlns="http://schemas.openxmlformats.org/spreadsheetml/2006/main" headerRowCount="0" ref="K2:K43" displayName="Table_2" name="Table_2" id="3">
  <tableColumns count="1">
    <tableColumn name="Column1" id="1"/>
  </tableColumns>
  <tableStyleInfo name="User-Produ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6" width="37.63"/>
    <col customWidth="1" min="7" max="14" width="18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5" t="s">
        <v>7</v>
      </c>
    </row>
    <row r="2">
      <c r="A2" s="6">
        <v>45800.51732085648</v>
      </c>
      <c r="B2" s="7">
        <v>0.0</v>
      </c>
      <c r="C2" s="8" t="s">
        <v>8</v>
      </c>
      <c r="D2" s="9" t="s">
        <v>9</v>
      </c>
      <c r="E2" s="9">
        <v>1.0</v>
      </c>
      <c r="F2" s="9" t="s">
        <v>10</v>
      </c>
      <c r="G2" s="9" t="s">
        <v>11</v>
      </c>
      <c r="H2" s="10">
        <v>23.0</v>
      </c>
    </row>
    <row r="3">
      <c r="A3" s="11">
        <v>45800.520676851855</v>
      </c>
      <c r="B3" s="12">
        <v>0.0</v>
      </c>
      <c r="C3" s="13" t="s">
        <v>12</v>
      </c>
      <c r="D3" s="14" t="s">
        <v>9</v>
      </c>
      <c r="E3" s="14">
        <v>1.0</v>
      </c>
      <c r="F3" s="14" t="s">
        <v>10</v>
      </c>
      <c r="G3" s="14" t="s">
        <v>13</v>
      </c>
      <c r="H3" s="15">
        <v>22.0</v>
      </c>
    </row>
    <row r="4">
      <c r="A4" s="16">
        <v>45800.522447881944</v>
      </c>
      <c r="B4" s="17">
        <v>0.0</v>
      </c>
      <c r="C4" s="18" t="s">
        <v>14</v>
      </c>
      <c r="D4" s="19" t="s">
        <v>15</v>
      </c>
      <c r="E4" s="19">
        <v>0.0</v>
      </c>
      <c r="F4" s="19" t="s">
        <v>10</v>
      </c>
      <c r="G4" s="19" t="s">
        <v>11</v>
      </c>
      <c r="H4" s="20">
        <v>22.0</v>
      </c>
    </row>
    <row r="5">
      <c r="A5" s="11">
        <v>45800.52318231481</v>
      </c>
      <c r="B5" s="12">
        <v>0.0</v>
      </c>
      <c r="C5" s="13" t="s">
        <v>16</v>
      </c>
      <c r="D5" s="14" t="s">
        <v>9</v>
      </c>
      <c r="E5" s="14">
        <v>1.0</v>
      </c>
      <c r="F5" s="14" t="s">
        <v>10</v>
      </c>
      <c r="G5" s="14" t="s">
        <v>11</v>
      </c>
      <c r="H5" s="15">
        <v>23.0</v>
      </c>
    </row>
    <row r="6">
      <c r="A6" s="16">
        <v>45800.52360849537</v>
      </c>
      <c r="B6" s="17">
        <v>0.0</v>
      </c>
      <c r="C6" s="18" t="s">
        <v>17</v>
      </c>
      <c r="D6" s="19" t="s">
        <v>9</v>
      </c>
      <c r="E6" s="19">
        <v>1.0</v>
      </c>
      <c r="F6" s="19" t="s">
        <v>10</v>
      </c>
      <c r="G6" s="19" t="s">
        <v>11</v>
      </c>
      <c r="H6" s="20">
        <v>27.0</v>
      </c>
    </row>
    <row r="7">
      <c r="A7" s="11">
        <v>45800.5236140625</v>
      </c>
      <c r="B7" s="12">
        <v>0.0</v>
      </c>
      <c r="C7" s="13" t="s">
        <v>18</v>
      </c>
      <c r="D7" s="14" t="s">
        <v>15</v>
      </c>
      <c r="E7" s="14">
        <v>0.0</v>
      </c>
      <c r="F7" s="14" t="s">
        <v>10</v>
      </c>
      <c r="G7" s="14" t="s">
        <v>11</v>
      </c>
      <c r="H7" s="15">
        <v>25.0</v>
      </c>
    </row>
    <row r="8">
      <c r="A8" s="16">
        <v>45800.523623125</v>
      </c>
      <c r="B8" s="17">
        <v>0.0</v>
      </c>
      <c r="C8" s="18" t="s">
        <v>19</v>
      </c>
      <c r="D8" s="19" t="s">
        <v>15</v>
      </c>
      <c r="E8" s="19">
        <v>0.0</v>
      </c>
      <c r="F8" s="19" t="s">
        <v>10</v>
      </c>
      <c r="G8" s="19" t="s">
        <v>11</v>
      </c>
      <c r="H8" s="20">
        <v>24.0</v>
      </c>
    </row>
    <row r="9">
      <c r="A9" s="11">
        <v>45800.52377569444</v>
      </c>
      <c r="B9" s="12">
        <v>0.0</v>
      </c>
      <c r="C9" s="13" t="s">
        <v>20</v>
      </c>
      <c r="D9" s="14" t="s">
        <v>15</v>
      </c>
      <c r="E9" s="14">
        <v>0.0</v>
      </c>
      <c r="F9" s="14" t="s">
        <v>10</v>
      </c>
      <c r="G9" s="14" t="s">
        <v>11</v>
      </c>
      <c r="H9" s="15">
        <v>23.0</v>
      </c>
    </row>
    <row r="10">
      <c r="A10" s="16">
        <v>45800.523889675926</v>
      </c>
      <c r="B10" s="17">
        <v>0.0</v>
      </c>
      <c r="C10" s="18" t="s">
        <v>21</v>
      </c>
      <c r="D10" s="19" t="s">
        <v>9</v>
      </c>
      <c r="E10" s="19">
        <v>1.0</v>
      </c>
      <c r="F10" s="19" t="s">
        <v>10</v>
      </c>
      <c r="G10" s="19" t="s">
        <v>11</v>
      </c>
      <c r="H10" s="20">
        <v>23.0</v>
      </c>
    </row>
    <row r="11">
      <c r="A11" s="11">
        <v>45800.52464773148</v>
      </c>
      <c r="B11" s="12">
        <v>0.0</v>
      </c>
      <c r="C11" s="13" t="s">
        <v>22</v>
      </c>
      <c r="D11" s="14" t="s">
        <v>15</v>
      </c>
      <c r="E11" s="14">
        <v>0.0</v>
      </c>
      <c r="F11" s="14" t="s">
        <v>23</v>
      </c>
      <c r="G11" s="14" t="s">
        <v>11</v>
      </c>
      <c r="H11" s="15">
        <v>24.0</v>
      </c>
    </row>
    <row r="12">
      <c r="A12" s="16">
        <v>45800.525074467594</v>
      </c>
      <c r="B12" s="17">
        <v>0.0</v>
      </c>
      <c r="C12" s="18" t="s">
        <v>24</v>
      </c>
      <c r="D12" s="19" t="s">
        <v>9</v>
      </c>
      <c r="E12" s="19">
        <v>1.0</v>
      </c>
      <c r="F12" s="19" t="s">
        <v>10</v>
      </c>
      <c r="G12" s="19" t="s">
        <v>11</v>
      </c>
      <c r="H12" s="20">
        <v>25.0</v>
      </c>
    </row>
    <row r="13">
      <c r="A13" s="11">
        <v>45800.525561041664</v>
      </c>
      <c r="B13" s="12">
        <v>0.0</v>
      </c>
      <c r="C13" s="13" t="s">
        <v>25</v>
      </c>
      <c r="D13" s="14" t="s">
        <v>15</v>
      </c>
      <c r="E13" s="14">
        <v>0.0</v>
      </c>
      <c r="F13" s="14" t="s">
        <v>10</v>
      </c>
      <c r="G13" s="14" t="s">
        <v>11</v>
      </c>
      <c r="H13" s="15">
        <v>28.0</v>
      </c>
    </row>
    <row r="14">
      <c r="A14" s="16">
        <v>45800.526341550925</v>
      </c>
      <c r="B14" s="17">
        <v>0.0</v>
      </c>
      <c r="C14" s="18" t="s">
        <v>24</v>
      </c>
      <c r="D14" s="19" t="s">
        <v>9</v>
      </c>
      <c r="E14" s="19">
        <v>1.0</v>
      </c>
      <c r="F14" s="19" t="s">
        <v>26</v>
      </c>
      <c r="G14" s="19" t="s">
        <v>11</v>
      </c>
      <c r="H14" s="20">
        <v>22.0</v>
      </c>
    </row>
    <row r="15">
      <c r="A15" s="11">
        <v>45800.52748438658</v>
      </c>
      <c r="B15" s="12">
        <v>0.0</v>
      </c>
      <c r="C15" s="13" t="s">
        <v>27</v>
      </c>
      <c r="D15" s="14" t="s">
        <v>15</v>
      </c>
      <c r="E15" s="14">
        <v>0.0</v>
      </c>
      <c r="F15" s="14" t="s">
        <v>10</v>
      </c>
      <c r="G15" s="14" t="s">
        <v>11</v>
      </c>
      <c r="H15" s="15">
        <v>23.0</v>
      </c>
    </row>
    <row r="16">
      <c r="A16" s="16">
        <v>45800.54020821759</v>
      </c>
      <c r="B16" s="17">
        <v>0.0</v>
      </c>
      <c r="C16" s="18" t="s">
        <v>28</v>
      </c>
      <c r="D16" s="19" t="s">
        <v>15</v>
      </c>
      <c r="E16" s="19">
        <v>0.0</v>
      </c>
      <c r="F16" s="19" t="s">
        <v>10</v>
      </c>
      <c r="G16" s="19" t="s">
        <v>11</v>
      </c>
      <c r="H16" s="20">
        <v>22.0</v>
      </c>
    </row>
    <row r="17">
      <c r="A17" s="11">
        <v>45800.558440486115</v>
      </c>
      <c r="B17" s="12">
        <v>0.0</v>
      </c>
      <c r="C17" s="13" t="s">
        <v>29</v>
      </c>
      <c r="D17" s="14" t="s">
        <v>9</v>
      </c>
      <c r="E17" s="14">
        <v>1.0</v>
      </c>
      <c r="F17" s="14" t="s">
        <v>10</v>
      </c>
      <c r="G17" s="14" t="s">
        <v>11</v>
      </c>
      <c r="H17" s="15">
        <v>24.0</v>
      </c>
    </row>
    <row r="18">
      <c r="A18" s="16">
        <v>45800.558491550924</v>
      </c>
      <c r="B18" s="17">
        <v>0.0</v>
      </c>
      <c r="C18" s="18" t="s">
        <v>14</v>
      </c>
      <c r="D18" s="19" t="s">
        <v>15</v>
      </c>
      <c r="E18" s="19">
        <v>0.0</v>
      </c>
      <c r="F18" s="19" t="s">
        <v>26</v>
      </c>
      <c r="G18" s="19" t="s">
        <v>11</v>
      </c>
      <c r="H18" s="20">
        <v>23.0</v>
      </c>
    </row>
    <row r="19">
      <c r="A19" s="11">
        <v>45800.560436053245</v>
      </c>
      <c r="B19" s="12">
        <v>0.0</v>
      </c>
      <c r="C19" s="13" t="s">
        <v>30</v>
      </c>
      <c r="D19" s="14" t="s">
        <v>9</v>
      </c>
      <c r="E19" s="14">
        <v>1.0</v>
      </c>
      <c r="F19" s="14" t="s">
        <v>31</v>
      </c>
      <c r="G19" s="14" t="s">
        <v>13</v>
      </c>
      <c r="H19" s="15">
        <v>25.0</v>
      </c>
    </row>
    <row r="20">
      <c r="A20" s="16">
        <v>45800.574207129626</v>
      </c>
      <c r="B20" s="17">
        <v>0.0</v>
      </c>
      <c r="C20" s="18" t="s">
        <v>32</v>
      </c>
      <c r="D20" s="19" t="s">
        <v>15</v>
      </c>
      <c r="E20" s="19">
        <v>0.0</v>
      </c>
      <c r="F20" s="19" t="s">
        <v>10</v>
      </c>
      <c r="G20" s="19" t="s">
        <v>11</v>
      </c>
      <c r="H20" s="20">
        <v>21.0</v>
      </c>
    </row>
    <row r="21">
      <c r="A21" s="11">
        <v>45800.577723912036</v>
      </c>
      <c r="B21" s="12">
        <v>0.0</v>
      </c>
      <c r="C21" s="13" t="s">
        <v>33</v>
      </c>
      <c r="D21" s="14" t="s">
        <v>9</v>
      </c>
      <c r="E21" s="14">
        <v>1.0</v>
      </c>
      <c r="F21" s="14" t="s">
        <v>23</v>
      </c>
      <c r="G21" s="14" t="s">
        <v>13</v>
      </c>
      <c r="H21" s="15">
        <v>24.0</v>
      </c>
    </row>
    <row r="22">
      <c r="A22" s="16">
        <v>45800.91924142361</v>
      </c>
      <c r="B22" s="17">
        <v>0.0</v>
      </c>
      <c r="C22" s="18" t="s">
        <v>34</v>
      </c>
      <c r="D22" s="19" t="s">
        <v>9</v>
      </c>
      <c r="E22" s="19">
        <v>1.0</v>
      </c>
      <c r="F22" s="19" t="s">
        <v>10</v>
      </c>
      <c r="G22" s="19" t="s">
        <v>13</v>
      </c>
      <c r="H22" s="20">
        <v>23.0</v>
      </c>
    </row>
    <row r="23">
      <c r="A23" s="11">
        <v>45801.04364822917</v>
      </c>
      <c r="B23" s="12">
        <v>0.0</v>
      </c>
      <c r="C23" s="13" t="s">
        <v>35</v>
      </c>
      <c r="D23" s="14" t="s">
        <v>15</v>
      </c>
      <c r="E23" s="14">
        <v>0.0</v>
      </c>
      <c r="F23" s="14" t="s">
        <v>10</v>
      </c>
      <c r="G23" s="14" t="s">
        <v>11</v>
      </c>
      <c r="H23" s="15">
        <v>23.0</v>
      </c>
    </row>
    <row r="24">
      <c r="A24" s="16">
        <v>45801.39153496528</v>
      </c>
      <c r="B24" s="17">
        <v>0.0</v>
      </c>
      <c r="C24" s="19" t="s">
        <v>25</v>
      </c>
      <c r="D24" s="19" t="s">
        <v>9</v>
      </c>
      <c r="E24" s="19">
        <v>1.0</v>
      </c>
      <c r="F24" s="19" t="s">
        <v>10</v>
      </c>
      <c r="G24" s="19" t="s">
        <v>11</v>
      </c>
      <c r="H24" s="20">
        <v>24.0</v>
      </c>
    </row>
    <row r="25">
      <c r="A25" s="11">
        <v>45801.57293869213</v>
      </c>
      <c r="B25" s="12">
        <v>0.0</v>
      </c>
      <c r="C25" s="14" t="s">
        <v>22</v>
      </c>
      <c r="D25" s="14" t="s">
        <v>9</v>
      </c>
      <c r="E25" s="14">
        <v>1.0</v>
      </c>
      <c r="F25" s="14" t="s">
        <v>10</v>
      </c>
      <c r="G25" s="14" t="s">
        <v>11</v>
      </c>
      <c r="H25" s="15">
        <v>23.0</v>
      </c>
    </row>
    <row r="26">
      <c r="A26" s="16">
        <v>45801.7120199537</v>
      </c>
      <c r="B26" s="17">
        <v>0.0</v>
      </c>
      <c r="C26" s="19" t="s">
        <v>25</v>
      </c>
      <c r="D26" s="19" t="s">
        <v>15</v>
      </c>
      <c r="E26" s="19">
        <v>0.0</v>
      </c>
      <c r="F26" s="19" t="s">
        <v>10</v>
      </c>
      <c r="G26" s="19" t="s">
        <v>11</v>
      </c>
      <c r="H26" s="20">
        <v>35.0</v>
      </c>
    </row>
    <row r="27">
      <c r="A27" s="11">
        <v>45801.71271811343</v>
      </c>
      <c r="B27" s="12">
        <v>0.0</v>
      </c>
      <c r="C27" s="14" t="s">
        <v>25</v>
      </c>
      <c r="D27" s="14" t="s">
        <v>15</v>
      </c>
      <c r="E27" s="14">
        <v>0.0</v>
      </c>
      <c r="F27" s="14" t="s">
        <v>10</v>
      </c>
      <c r="G27" s="14" t="s">
        <v>11</v>
      </c>
      <c r="H27" s="15">
        <v>25.0</v>
      </c>
    </row>
    <row r="28">
      <c r="A28" s="16">
        <v>45802.59937671296</v>
      </c>
      <c r="B28" s="17">
        <v>0.0</v>
      </c>
      <c r="C28" s="19" t="s">
        <v>36</v>
      </c>
      <c r="D28" s="19" t="s">
        <v>9</v>
      </c>
      <c r="E28" s="19">
        <v>1.0</v>
      </c>
      <c r="F28" s="19" t="s">
        <v>10</v>
      </c>
      <c r="G28" s="19" t="s">
        <v>11</v>
      </c>
      <c r="H28" s="20">
        <v>23.0</v>
      </c>
    </row>
    <row r="29">
      <c r="A29" s="11">
        <v>45804.479100358796</v>
      </c>
      <c r="B29" s="12">
        <v>0.0</v>
      </c>
      <c r="C29" s="14" t="s">
        <v>37</v>
      </c>
      <c r="D29" s="14" t="s">
        <v>15</v>
      </c>
      <c r="E29" s="14">
        <v>0.0</v>
      </c>
      <c r="F29" s="14" t="s">
        <v>10</v>
      </c>
      <c r="G29" s="14" t="s">
        <v>11</v>
      </c>
      <c r="H29" s="15">
        <v>22.0</v>
      </c>
    </row>
    <row r="30">
      <c r="A30" s="16">
        <v>45804.480917002315</v>
      </c>
      <c r="B30" s="17">
        <v>0.0</v>
      </c>
      <c r="C30" s="19" t="s">
        <v>38</v>
      </c>
      <c r="D30" s="19" t="s">
        <v>9</v>
      </c>
      <c r="E30" s="19">
        <v>1.0</v>
      </c>
      <c r="F30" s="19" t="s">
        <v>10</v>
      </c>
      <c r="G30" s="19" t="s">
        <v>11</v>
      </c>
      <c r="H30" s="20">
        <v>23.0</v>
      </c>
    </row>
    <row r="31">
      <c r="A31" s="11">
        <v>45804.50128355324</v>
      </c>
      <c r="B31" s="12">
        <v>0.0</v>
      </c>
      <c r="C31" s="14" t="s">
        <v>8</v>
      </c>
      <c r="D31" s="14" t="s">
        <v>15</v>
      </c>
      <c r="E31" s="14">
        <v>0.0</v>
      </c>
      <c r="F31" s="14" t="s">
        <v>10</v>
      </c>
      <c r="G31" s="14" t="s">
        <v>11</v>
      </c>
      <c r="H31" s="15">
        <v>25.0</v>
      </c>
    </row>
    <row r="32">
      <c r="A32" s="16">
        <v>45804.51070892361</v>
      </c>
      <c r="B32" s="17">
        <v>0.0</v>
      </c>
      <c r="C32" s="19" t="s">
        <v>17</v>
      </c>
      <c r="D32" s="19" t="s">
        <v>9</v>
      </c>
      <c r="E32" s="19">
        <v>1.0</v>
      </c>
      <c r="F32" s="19" t="s">
        <v>26</v>
      </c>
      <c r="G32" s="19" t="s">
        <v>11</v>
      </c>
      <c r="H32" s="20">
        <v>23.0</v>
      </c>
    </row>
    <row r="33">
      <c r="A33" s="11">
        <v>45804.66857171296</v>
      </c>
      <c r="B33" s="12">
        <v>0.0</v>
      </c>
      <c r="C33" s="14" t="s">
        <v>39</v>
      </c>
      <c r="D33" s="14" t="s">
        <v>15</v>
      </c>
      <c r="E33" s="14">
        <v>0.0</v>
      </c>
      <c r="F33" s="14" t="s">
        <v>10</v>
      </c>
      <c r="G33" s="14" t="s">
        <v>11</v>
      </c>
      <c r="H33" s="15">
        <v>24.0</v>
      </c>
    </row>
    <row r="34">
      <c r="A34" s="16">
        <v>45804.738903101854</v>
      </c>
      <c r="B34" s="17">
        <v>0.0</v>
      </c>
      <c r="C34" s="19" t="s">
        <v>40</v>
      </c>
      <c r="D34" s="19" t="s">
        <v>15</v>
      </c>
      <c r="E34" s="19">
        <v>0.0</v>
      </c>
      <c r="F34" s="19" t="s">
        <v>10</v>
      </c>
      <c r="G34" s="19" t="s">
        <v>13</v>
      </c>
      <c r="H34" s="20">
        <v>25.0</v>
      </c>
    </row>
    <row r="35">
      <c r="A35" s="11">
        <v>45804.73977881944</v>
      </c>
      <c r="B35" s="12">
        <v>0.0</v>
      </c>
      <c r="C35" s="14" t="s">
        <v>40</v>
      </c>
      <c r="D35" s="14" t="s">
        <v>15</v>
      </c>
      <c r="E35" s="14">
        <v>0.0</v>
      </c>
      <c r="F35" s="14" t="s">
        <v>10</v>
      </c>
      <c r="G35" s="14" t="s">
        <v>11</v>
      </c>
      <c r="H35" s="15">
        <v>23.0</v>
      </c>
    </row>
    <row r="36">
      <c r="A36" s="16">
        <v>45804.74042549769</v>
      </c>
      <c r="B36" s="17">
        <v>0.0</v>
      </c>
      <c r="C36" s="19" t="s">
        <v>16</v>
      </c>
      <c r="D36" s="19" t="s">
        <v>15</v>
      </c>
      <c r="E36" s="19">
        <v>0.0</v>
      </c>
      <c r="F36" s="19" t="s">
        <v>23</v>
      </c>
      <c r="G36" s="19" t="s">
        <v>11</v>
      </c>
      <c r="H36" s="20">
        <v>25.0</v>
      </c>
    </row>
    <row r="37">
      <c r="A37" s="11">
        <v>45804.74135978009</v>
      </c>
      <c r="B37" s="12">
        <v>0.0</v>
      </c>
      <c r="C37" s="14" t="s">
        <v>25</v>
      </c>
      <c r="D37" s="14" t="s">
        <v>15</v>
      </c>
      <c r="E37" s="14">
        <v>0.0</v>
      </c>
      <c r="F37" s="14" t="s">
        <v>31</v>
      </c>
      <c r="G37" s="14" t="s">
        <v>11</v>
      </c>
      <c r="H37" s="15">
        <v>29.0</v>
      </c>
    </row>
    <row r="38">
      <c r="A38" s="16">
        <v>45804.74234016203</v>
      </c>
      <c r="B38" s="17">
        <v>0.0</v>
      </c>
      <c r="C38" s="19" t="s">
        <v>41</v>
      </c>
      <c r="D38" s="19" t="s">
        <v>9</v>
      </c>
      <c r="E38" s="19">
        <v>1.0</v>
      </c>
      <c r="F38" s="19" t="s">
        <v>26</v>
      </c>
      <c r="G38" s="19" t="s">
        <v>11</v>
      </c>
      <c r="H38" s="20">
        <v>23.0</v>
      </c>
    </row>
    <row r="39">
      <c r="A39" s="11">
        <v>45804.743779791665</v>
      </c>
      <c r="B39" s="12">
        <v>0.0</v>
      </c>
      <c r="C39" s="14" t="s">
        <v>25</v>
      </c>
      <c r="D39" s="14" t="s">
        <v>15</v>
      </c>
      <c r="E39" s="14">
        <v>0.0</v>
      </c>
      <c r="F39" s="14" t="s">
        <v>26</v>
      </c>
      <c r="G39" s="14" t="s">
        <v>11</v>
      </c>
      <c r="H39" s="15">
        <v>22.0</v>
      </c>
    </row>
    <row r="40">
      <c r="A40" s="16">
        <v>45804.746086053245</v>
      </c>
      <c r="B40" s="17">
        <v>0.0</v>
      </c>
      <c r="C40" s="19" t="s">
        <v>42</v>
      </c>
      <c r="D40" s="19" t="s">
        <v>9</v>
      </c>
      <c r="E40" s="19">
        <v>1.0</v>
      </c>
      <c r="F40" s="19" t="s">
        <v>10</v>
      </c>
      <c r="G40" s="19" t="s">
        <v>11</v>
      </c>
      <c r="H40" s="20">
        <v>24.0</v>
      </c>
    </row>
    <row r="41">
      <c r="A41" s="11">
        <v>45804.746616006945</v>
      </c>
      <c r="B41" s="12">
        <v>0.0</v>
      </c>
      <c r="C41" s="14" t="s">
        <v>16</v>
      </c>
      <c r="D41" s="14" t="s">
        <v>9</v>
      </c>
      <c r="E41" s="14">
        <v>1.0</v>
      </c>
      <c r="F41" s="14" t="s">
        <v>23</v>
      </c>
      <c r="G41" s="14" t="s">
        <v>13</v>
      </c>
      <c r="H41" s="15">
        <v>23.0</v>
      </c>
    </row>
    <row r="42">
      <c r="A42" s="16">
        <v>45804.841014432866</v>
      </c>
      <c r="B42" s="17">
        <v>0.0</v>
      </c>
      <c r="C42" s="19" t="s">
        <v>43</v>
      </c>
      <c r="D42" s="19" t="s">
        <v>15</v>
      </c>
      <c r="E42" s="19">
        <v>0.0</v>
      </c>
      <c r="F42" s="19" t="s">
        <v>10</v>
      </c>
      <c r="G42" s="19" t="s">
        <v>11</v>
      </c>
      <c r="H42" s="20">
        <v>26.0</v>
      </c>
    </row>
    <row r="43">
      <c r="A43" s="11">
        <v>45804.945642418985</v>
      </c>
      <c r="B43" s="12">
        <v>0.0</v>
      </c>
      <c r="C43" s="14" t="s">
        <v>44</v>
      </c>
      <c r="D43" s="14" t="s">
        <v>9</v>
      </c>
      <c r="E43" s="14">
        <v>1.0</v>
      </c>
      <c r="F43" s="14" t="s">
        <v>10</v>
      </c>
      <c r="G43" s="14" t="s">
        <v>11</v>
      </c>
      <c r="H43" s="15">
        <v>23.0</v>
      </c>
    </row>
    <row r="44">
      <c r="A44" s="21"/>
      <c r="B44" s="22"/>
      <c r="C44" s="22"/>
      <c r="D44" s="22"/>
      <c r="E44" s="22"/>
      <c r="F44" s="22"/>
      <c r="G44" s="22"/>
      <c r="H44" s="23">
        <f>AVERAGE(Form_Responses1[Age])</f>
        <v>24.02380952</v>
      </c>
    </row>
    <row r="45">
      <c r="C45" s="24"/>
    </row>
    <row r="46">
      <c r="C46" s="24"/>
    </row>
    <row r="47">
      <c r="C47" s="24"/>
    </row>
    <row r="48">
      <c r="C48" s="24"/>
    </row>
    <row r="49">
      <c r="C49" s="24"/>
    </row>
    <row r="50">
      <c r="C50" s="24"/>
    </row>
    <row r="51">
      <c r="C51" s="24"/>
    </row>
    <row r="52">
      <c r="C52" s="24"/>
    </row>
    <row r="53">
      <c r="C53" s="24"/>
    </row>
    <row r="54">
      <c r="C54" s="24"/>
    </row>
    <row r="55">
      <c r="C55" s="24"/>
    </row>
    <row r="56">
      <c r="C56" s="24"/>
    </row>
    <row r="57">
      <c r="C57" s="24"/>
    </row>
    <row r="58">
      <c r="C58" s="24"/>
    </row>
    <row r="59">
      <c r="C59" s="24"/>
    </row>
    <row r="60">
      <c r="C60" s="24"/>
    </row>
    <row r="61">
      <c r="C61" s="24"/>
    </row>
    <row r="62">
      <c r="C62" s="24"/>
    </row>
    <row r="63">
      <c r="C63" s="24"/>
    </row>
    <row r="64">
      <c r="C64" s="24"/>
    </row>
    <row r="65">
      <c r="C65" s="24"/>
    </row>
    <row r="66">
      <c r="C66" s="24"/>
    </row>
    <row r="67">
      <c r="C67" s="24"/>
    </row>
    <row r="68">
      <c r="C68" s="24"/>
    </row>
    <row r="69">
      <c r="C69" s="24"/>
    </row>
    <row r="70">
      <c r="C70" s="24"/>
    </row>
    <row r="71">
      <c r="C71" s="24"/>
    </row>
    <row r="72">
      <c r="C72" s="24"/>
    </row>
    <row r="73">
      <c r="C73" s="24"/>
    </row>
    <row r="74">
      <c r="C74" s="24"/>
    </row>
    <row r="75">
      <c r="C75" s="24"/>
    </row>
    <row r="76">
      <c r="C76" s="24"/>
    </row>
    <row r="77">
      <c r="C77" s="24"/>
    </row>
    <row r="78">
      <c r="C78" s="24"/>
    </row>
    <row r="79">
      <c r="C79" s="24"/>
    </row>
    <row r="80">
      <c r="C80" s="24"/>
    </row>
    <row r="81">
      <c r="C81" s="24"/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3" max="3" width="6.0"/>
    <col customWidth="1" min="4" max="4" width="5.5"/>
    <col customWidth="1" min="6" max="7" width="4.75"/>
    <col customWidth="1" min="9" max="9" width="5.38"/>
    <col customWidth="1" min="10" max="10" width="4.75"/>
    <col customWidth="1" min="12" max="12" width="5.25"/>
    <col customWidth="1" min="13" max="13" width="5.5"/>
    <col customWidth="1" min="15" max="15" width="5.5"/>
    <col customWidth="1" min="16" max="16" width="4.75"/>
    <col customWidth="1" min="18" max="18" width="6.13"/>
    <col customWidth="1" min="19" max="19" width="4.88"/>
    <col customWidth="1" min="21" max="22" width="5.63"/>
    <col customWidth="1" min="24" max="24" width="5.88"/>
    <col customWidth="1" min="25" max="25" width="5.38"/>
    <col customWidth="1" min="27" max="27" width="4.75"/>
    <col customWidth="1" min="28" max="28" width="5.25"/>
    <col customWidth="1" min="30" max="30" width="5.0"/>
    <col customWidth="1" min="31" max="31" width="5.38"/>
  </cols>
  <sheetData>
    <row r="1">
      <c r="B1" s="25" t="s">
        <v>45</v>
      </c>
      <c r="E1" s="25" t="s">
        <v>46</v>
      </c>
      <c r="H1" s="25" t="s">
        <v>47</v>
      </c>
      <c r="K1" s="25" t="s">
        <v>48</v>
      </c>
      <c r="N1" s="25" t="s">
        <v>49</v>
      </c>
      <c r="Q1" s="25" t="s">
        <v>50</v>
      </c>
      <c r="T1" s="25" t="s">
        <v>51</v>
      </c>
      <c r="W1" s="25" t="s">
        <v>52</v>
      </c>
      <c r="Z1" s="25" t="s">
        <v>53</v>
      </c>
      <c r="AC1" s="26" t="s">
        <v>54</v>
      </c>
    </row>
    <row r="2">
      <c r="A2" s="25"/>
      <c r="B2" s="27" t="s">
        <v>55</v>
      </c>
      <c r="C2" s="27" t="s">
        <v>56</v>
      </c>
      <c r="D2" s="27" t="s">
        <v>57</v>
      </c>
      <c r="E2" s="27" t="s">
        <v>55</v>
      </c>
      <c r="F2" s="27" t="s">
        <v>56</v>
      </c>
      <c r="G2" s="27" t="s">
        <v>57</v>
      </c>
      <c r="H2" s="27" t="s">
        <v>55</v>
      </c>
      <c r="I2" s="27" t="s">
        <v>56</v>
      </c>
      <c r="J2" s="27" t="s">
        <v>57</v>
      </c>
      <c r="K2" s="27" t="s">
        <v>55</v>
      </c>
      <c r="L2" s="27" t="s">
        <v>56</v>
      </c>
      <c r="M2" s="27" t="s">
        <v>57</v>
      </c>
      <c r="N2" s="27" t="s">
        <v>55</v>
      </c>
      <c r="O2" s="27" t="s">
        <v>56</v>
      </c>
      <c r="P2" s="27" t="s">
        <v>57</v>
      </c>
      <c r="Q2" s="27" t="s">
        <v>55</v>
      </c>
      <c r="R2" s="27" t="s">
        <v>56</v>
      </c>
      <c r="S2" s="27" t="s">
        <v>57</v>
      </c>
      <c r="T2" s="27" t="s">
        <v>55</v>
      </c>
      <c r="U2" s="27" t="s">
        <v>56</v>
      </c>
      <c r="V2" s="27" t="s">
        <v>57</v>
      </c>
      <c r="W2" s="27" t="s">
        <v>55</v>
      </c>
      <c r="X2" s="27" t="s">
        <v>56</v>
      </c>
      <c r="Y2" s="27" t="s">
        <v>57</v>
      </c>
      <c r="Z2" s="27" t="s">
        <v>55</v>
      </c>
      <c r="AA2" s="27" t="s">
        <v>56</v>
      </c>
      <c r="AB2" s="27" t="s">
        <v>57</v>
      </c>
      <c r="AC2" s="28" t="s">
        <v>55</v>
      </c>
      <c r="AD2" s="29" t="s">
        <v>56</v>
      </c>
      <c r="AE2" s="27" t="s">
        <v>57</v>
      </c>
    </row>
    <row r="3">
      <c r="A3" s="25" t="s">
        <v>45</v>
      </c>
      <c r="B3" s="30">
        <v>22.0</v>
      </c>
      <c r="C3" s="31"/>
      <c r="D3" s="31"/>
      <c r="E3" s="32">
        <v>8.0</v>
      </c>
      <c r="F3" s="33">
        <f>E3/$E$4</f>
        <v>0.4444444444</v>
      </c>
      <c r="G3" s="33">
        <f>E3/B3</f>
        <v>0.3636363636</v>
      </c>
      <c r="H3" s="32">
        <v>4.0</v>
      </c>
      <c r="I3" s="33">
        <f t="shared" ref="I3:I4" si="1">H3/$H$5</f>
        <v>0.3333333333</v>
      </c>
      <c r="J3" s="33">
        <f>H3/B3</f>
        <v>0.1818181818</v>
      </c>
      <c r="K3" s="32">
        <v>8.0</v>
      </c>
      <c r="L3" s="34">
        <f t="shared" ref="L3:L5" si="2">K3/$K$6</f>
        <v>0.8888888889</v>
      </c>
      <c r="M3" s="33">
        <f>K3/B3</f>
        <v>0.3636363636</v>
      </c>
      <c r="N3" s="32">
        <v>8.0</v>
      </c>
      <c r="O3" s="33">
        <f t="shared" ref="O3:O6" si="3">N3/15</f>
        <v>0.5333333333</v>
      </c>
      <c r="P3" s="33">
        <f>N3/22</f>
        <v>0.3636363636</v>
      </c>
      <c r="Q3" s="32">
        <v>11.0</v>
      </c>
      <c r="R3" s="35">
        <f t="shared" ref="R3:R7" si="4">Q3/$Q$8</f>
        <v>0.5238095238</v>
      </c>
      <c r="S3" s="35">
        <f>Q3/22</f>
        <v>0.5</v>
      </c>
      <c r="T3" s="32">
        <v>8.0</v>
      </c>
      <c r="U3" s="34">
        <f t="shared" ref="U3:U8" si="5">T3/$T$9</f>
        <v>0.8888888889</v>
      </c>
      <c r="V3" s="33">
        <f>T3/22</f>
        <v>0.3636363636</v>
      </c>
      <c r="W3" s="32">
        <v>6.0</v>
      </c>
      <c r="X3" s="34">
        <f t="shared" ref="X3:X9" si="6">W3/$W$10</f>
        <v>0.75</v>
      </c>
      <c r="Y3" s="33">
        <f>W3/22</f>
        <v>0.2727272727</v>
      </c>
      <c r="Z3" s="32">
        <v>7.0</v>
      </c>
      <c r="AA3" s="33">
        <f t="shared" ref="AA3:AA10" si="7">Z3/$Z$11</f>
        <v>0.4375</v>
      </c>
      <c r="AB3" s="33">
        <f>Z3/22</f>
        <v>0.3181818182</v>
      </c>
      <c r="AC3" s="36">
        <v>10.0</v>
      </c>
      <c r="AD3" s="37">
        <f t="shared" ref="AD3:AD11" si="8">AC3/$AC$12</f>
        <v>0.5</v>
      </c>
      <c r="AE3" s="33">
        <f>AC3/22</f>
        <v>0.4545454545</v>
      </c>
    </row>
    <row r="4">
      <c r="A4" s="25" t="s">
        <v>46</v>
      </c>
      <c r="B4" s="32">
        <v>8.0</v>
      </c>
      <c r="C4" s="33">
        <f>B4/B3</f>
        <v>0.3636363636</v>
      </c>
      <c r="D4" s="33">
        <f>B4/E4</f>
        <v>0.4444444444</v>
      </c>
      <c r="E4" s="38">
        <v>18.0</v>
      </c>
      <c r="F4" s="33"/>
      <c r="G4" s="31"/>
      <c r="H4" s="32">
        <v>8.0</v>
      </c>
      <c r="I4" s="33">
        <f t="shared" si="1"/>
        <v>0.6666666667</v>
      </c>
      <c r="J4" s="33">
        <f>H4/E4</f>
        <v>0.4444444444</v>
      </c>
      <c r="K4" s="32">
        <v>8.0</v>
      </c>
      <c r="L4" s="34">
        <f t="shared" si="2"/>
        <v>0.8888888889</v>
      </c>
      <c r="M4" s="33">
        <f>K4/E4</f>
        <v>0.4444444444</v>
      </c>
      <c r="N4" s="32">
        <v>8.0</v>
      </c>
      <c r="O4" s="33">
        <f t="shared" si="3"/>
        <v>0.5333333333</v>
      </c>
      <c r="P4" s="33">
        <f>N4/18</f>
        <v>0.4444444444</v>
      </c>
      <c r="Q4" s="32">
        <v>8.0</v>
      </c>
      <c r="R4" s="33">
        <f t="shared" si="4"/>
        <v>0.380952381</v>
      </c>
      <c r="S4" s="33">
        <f>Q4/18</f>
        <v>0.4444444444</v>
      </c>
      <c r="T4" s="32">
        <v>4.0</v>
      </c>
      <c r="U4" s="33">
        <f t="shared" si="5"/>
        <v>0.4444444444</v>
      </c>
      <c r="V4" s="33">
        <f>T4/18</f>
        <v>0.2222222222</v>
      </c>
      <c r="W4" s="32">
        <v>5.0</v>
      </c>
      <c r="X4" s="33">
        <f t="shared" si="6"/>
        <v>0.625</v>
      </c>
      <c r="Y4" s="33">
        <f>W4/18</f>
        <v>0.2777777778</v>
      </c>
      <c r="Z4" s="32">
        <v>10.0</v>
      </c>
      <c r="AA4" s="35">
        <f t="shared" si="7"/>
        <v>0.625</v>
      </c>
      <c r="AB4" s="35">
        <f>Z4/18</f>
        <v>0.5555555556</v>
      </c>
      <c r="AC4" s="36">
        <v>10.0</v>
      </c>
      <c r="AD4" s="37">
        <f t="shared" si="8"/>
        <v>0.5</v>
      </c>
      <c r="AE4" s="33">
        <f>AC4/18</f>
        <v>0.5555555556</v>
      </c>
    </row>
    <row r="5">
      <c r="A5" s="25" t="s">
        <v>47</v>
      </c>
      <c r="B5" s="32">
        <v>4.0</v>
      </c>
      <c r="C5" s="33">
        <f>B5/B3</f>
        <v>0.1818181818</v>
      </c>
      <c r="D5" s="33">
        <f>B5/H5</f>
        <v>0.3333333333</v>
      </c>
      <c r="E5" s="32">
        <v>8.0</v>
      </c>
      <c r="F5" s="33">
        <f t="shared" ref="F5:F12" si="9">E5/$E$4</f>
        <v>0.4444444444</v>
      </c>
      <c r="G5" s="33">
        <f>E5/H5</f>
        <v>0.6666666667</v>
      </c>
      <c r="H5" s="38">
        <v>12.0</v>
      </c>
      <c r="I5" s="33"/>
      <c r="J5" s="33"/>
      <c r="K5" s="32">
        <v>4.0</v>
      </c>
      <c r="L5" s="33">
        <f t="shared" si="2"/>
        <v>0.4444444444</v>
      </c>
      <c r="M5" s="33">
        <f>K5/12</f>
        <v>0.3333333333</v>
      </c>
      <c r="N5" s="32">
        <v>5.0</v>
      </c>
      <c r="O5" s="33">
        <f t="shared" si="3"/>
        <v>0.3333333333</v>
      </c>
      <c r="P5" s="33">
        <f>N5/12</f>
        <v>0.4166666667</v>
      </c>
      <c r="Q5" s="32">
        <v>9.0</v>
      </c>
      <c r="R5" s="33">
        <f t="shared" si="4"/>
        <v>0.4285714286</v>
      </c>
      <c r="S5" s="39">
        <f>Q5/12</f>
        <v>0.75</v>
      </c>
      <c r="T5" s="32">
        <v>3.0</v>
      </c>
      <c r="U5" s="33">
        <f t="shared" si="5"/>
        <v>0.3333333333</v>
      </c>
      <c r="V5" s="33">
        <f>T5/12</f>
        <v>0.25</v>
      </c>
      <c r="W5" s="32">
        <v>4.0</v>
      </c>
      <c r="X5" s="33">
        <f t="shared" si="6"/>
        <v>0.5</v>
      </c>
      <c r="Y5" s="33">
        <f>W5/12</f>
        <v>0.3333333333</v>
      </c>
      <c r="Z5" s="32">
        <v>6.0</v>
      </c>
      <c r="AA5" s="33">
        <f t="shared" si="7"/>
        <v>0.375</v>
      </c>
      <c r="AB5" s="33">
        <f>Z5/12</f>
        <v>0.5</v>
      </c>
      <c r="AC5" s="36">
        <v>7.0</v>
      </c>
      <c r="AD5" s="37">
        <f t="shared" si="8"/>
        <v>0.35</v>
      </c>
      <c r="AE5" s="33">
        <f>AC5/12</f>
        <v>0.5833333333</v>
      </c>
    </row>
    <row r="6">
      <c r="A6" s="25" t="s">
        <v>48</v>
      </c>
      <c r="B6" s="32">
        <v>8.0</v>
      </c>
      <c r="C6" s="33">
        <f t="shared" ref="C6:C12" si="10">B6/$B$3</f>
        <v>0.3636363636</v>
      </c>
      <c r="D6" s="39">
        <f>B6/K6</f>
        <v>0.8888888889</v>
      </c>
      <c r="E6" s="32">
        <v>8.0</v>
      </c>
      <c r="F6" s="33">
        <f t="shared" si="9"/>
        <v>0.4444444444</v>
      </c>
      <c r="G6" s="39">
        <f>E6/K6</f>
        <v>0.8888888889</v>
      </c>
      <c r="H6" s="32">
        <v>4.0</v>
      </c>
      <c r="I6" s="33">
        <f t="shared" ref="I6:I12" si="11">H6/$H$5</f>
        <v>0.3333333333</v>
      </c>
      <c r="J6" s="33">
        <f>H6/K6</f>
        <v>0.4444444444</v>
      </c>
      <c r="K6" s="38">
        <v>9.0</v>
      </c>
      <c r="L6" s="33"/>
      <c r="M6" s="31"/>
      <c r="N6" s="32">
        <v>6.0</v>
      </c>
      <c r="O6" s="33">
        <f t="shared" si="3"/>
        <v>0.4</v>
      </c>
      <c r="P6" s="33">
        <f>N6/9</f>
        <v>0.6666666667</v>
      </c>
      <c r="Q6" s="32">
        <v>6.0</v>
      </c>
      <c r="R6" s="33">
        <f t="shared" si="4"/>
        <v>0.2857142857</v>
      </c>
      <c r="S6" s="33">
        <f>Q6/9</f>
        <v>0.6666666667</v>
      </c>
      <c r="T6" s="32">
        <v>5.0</v>
      </c>
      <c r="U6" s="35">
        <f t="shared" si="5"/>
        <v>0.5555555556</v>
      </c>
      <c r="V6" s="35">
        <f>T6/9</f>
        <v>0.5555555556</v>
      </c>
      <c r="W6" s="32">
        <v>4.0</v>
      </c>
      <c r="X6" s="33">
        <f t="shared" si="6"/>
        <v>0.5</v>
      </c>
      <c r="Y6" s="33">
        <f>W6/9</f>
        <v>0.4444444444</v>
      </c>
      <c r="Z6" s="32">
        <v>7.0</v>
      </c>
      <c r="AA6" s="33">
        <f t="shared" si="7"/>
        <v>0.4375</v>
      </c>
      <c r="AB6" s="39">
        <f>Z6/9</f>
        <v>0.7777777778</v>
      </c>
      <c r="AC6" s="36">
        <v>7.0</v>
      </c>
      <c r="AD6" s="37">
        <f t="shared" si="8"/>
        <v>0.35</v>
      </c>
      <c r="AE6" s="33">
        <f>AC6/9</f>
        <v>0.7777777778</v>
      </c>
    </row>
    <row r="7">
      <c r="A7" s="25" t="s">
        <v>49</v>
      </c>
      <c r="B7" s="32">
        <v>8.0</v>
      </c>
      <c r="C7" s="33">
        <f t="shared" si="10"/>
        <v>0.3636363636</v>
      </c>
      <c r="D7" s="33">
        <f>B7/N7</f>
        <v>0.5333333333</v>
      </c>
      <c r="E7" s="32">
        <v>8.0</v>
      </c>
      <c r="F7" s="33">
        <f t="shared" si="9"/>
        <v>0.4444444444</v>
      </c>
      <c r="G7" s="33">
        <f>E7/N7</f>
        <v>0.5333333333</v>
      </c>
      <c r="H7" s="32">
        <v>5.0</v>
      </c>
      <c r="I7" s="33">
        <f t="shared" si="11"/>
        <v>0.4166666667</v>
      </c>
      <c r="J7" s="33">
        <f>H7/N7</f>
        <v>0.3333333333</v>
      </c>
      <c r="K7" s="32">
        <v>6.0</v>
      </c>
      <c r="L7" s="33">
        <f t="shared" ref="L7:L12" si="12">K7/$K$6</f>
        <v>0.6666666667</v>
      </c>
      <c r="M7" s="33">
        <f>K7/15</f>
        <v>0.4</v>
      </c>
      <c r="N7" s="38">
        <v>15.0</v>
      </c>
      <c r="O7" s="33"/>
      <c r="P7" s="31"/>
      <c r="Q7" s="32">
        <v>11.0</v>
      </c>
      <c r="R7" s="40">
        <f t="shared" si="4"/>
        <v>0.5238095238</v>
      </c>
      <c r="S7" s="41">
        <f>Q7/15</f>
        <v>0.7333333333</v>
      </c>
      <c r="T7" s="32">
        <v>5.0</v>
      </c>
      <c r="U7" s="33">
        <f t="shared" si="5"/>
        <v>0.5555555556</v>
      </c>
      <c r="V7" s="31">
        <f>T7/15</f>
        <v>0.3333333333</v>
      </c>
      <c r="W7" s="32">
        <v>6.0</v>
      </c>
      <c r="X7" s="34">
        <f t="shared" si="6"/>
        <v>0.75</v>
      </c>
      <c r="Y7" s="31">
        <f>W7/15</f>
        <v>0.4</v>
      </c>
      <c r="Z7" s="32">
        <v>11.0</v>
      </c>
      <c r="AA7" s="35">
        <f t="shared" si="7"/>
        <v>0.6875</v>
      </c>
      <c r="AB7" s="42">
        <f>Z7/15</f>
        <v>0.7333333333</v>
      </c>
      <c r="AC7" s="36">
        <v>9.0</v>
      </c>
      <c r="AD7" s="37">
        <f t="shared" si="8"/>
        <v>0.45</v>
      </c>
      <c r="AE7" s="31">
        <f>AC7/15</f>
        <v>0.6</v>
      </c>
    </row>
    <row r="8">
      <c r="A8" s="25" t="s">
        <v>50</v>
      </c>
      <c r="B8" s="32">
        <v>11.0</v>
      </c>
      <c r="C8" s="33">
        <f t="shared" si="10"/>
        <v>0.5</v>
      </c>
      <c r="D8" s="33">
        <f>B8/Q8</f>
        <v>0.5238095238</v>
      </c>
      <c r="E8" s="32">
        <v>8.0</v>
      </c>
      <c r="F8" s="33">
        <f t="shared" si="9"/>
        <v>0.4444444444</v>
      </c>
      <c r="G8" s="33">
        <f>E8/Q8</f>
        <v>0.380952381</v>
      </c>
      <c r="H8" s="32">
        <v>9.0</v>
      </c>
      <c r="I8" s="34">
        <f t="shared" si="11"/>
        <v>0.75</v>
      </c>
      <c r="J8" s="33">
        <f>H8/Q8</f>
        <v>0.4285714286</v>
      </c>
      <c r="K8" s="32">
        <v>6.0</v>
      </c>
      <c r="L8" s="33">
        <f t="shared" si="12"/>
        <v>0.6666666667</v>
      </c>
      <c r="M8" s="33">
        <f>K8/21</f>
        <v>0.2857142857</v>
      </c>
      <c r="N8" s="32">
        <v>11.0</v>
      </c>
      <c r="O8" s="35">
        <f t="shared" ref="O8:O12" si="13">N8/15</f>
        <v>0.7333333333</v>
      </c>
      <c r="P8" s="35">
        <f>N8/21</f>
        <v>0.5238095238</v>
      </c>
      <c r="Q8" s="38">
        <v>21.0</v>
      </c>
      <c r="R8" s="33"/>
      <c r="S8" s="33"/>
      <c r="T8" s="32">
        <v>7.0</v>
      </c>
      <c r="U8" s="34">
        <f t="shared" si="5"/>
        <v>0.7777777778</v>
      </c>
      <c r="V8" s="33">
        <f>T8/21</f>
        <v>0.3333333333</v>
      </c>
      <c r="W8" s="32">
        <v>5.0</v>
      </c>
      <c r="X8" s="33">
        <f t="shared" si="6"/>
        <v>0.625</v>
      </c>
      <c r="Y8" s="33">
        <f>W8/21</f>
        <v>0.2380952381</v>
      </c>
      <c r="Z8" s="32">
        <v>11.0</v>
      </c>
      <c r="AA8" s="35">
        <f t="shared" si="7"/>
        <v>0.6875</v>
      </c>
      <c r="AB8" s="35">
        <f>Z8/21</f>
        <v>0.5238095238</v>
      </c>
      <c r="AC8" s="36">
        <v>12.0</v>
      </c>
      <c r="AD8" s="37">
        <f t="shared" si="8"/>
        <v>0.6</v>
      </c>
      <c r="AE8" s="33">
        <f>AC8/21</f>
        <v>0.5714285714</v>
      </c>
    </row>
    <row r="9">
      <c r="A9" s="25" t="s">
        <v>51</v>
      </c>
      <c r="B9" s="32">
        <v>8.0</v>
      </c>
      <c r="C9" s="33">
        <f t="shared" si="10"/>
        <v>0.3636363636</v>
      </c>
      <c r="D9" s="39">
        <f>B9/T9</f>
        <v>0.8888888889</v>
      </c>
      <c r="E9" s="32">
        <v>4.0</v>
      </c>
      <c r="F9" s="33">
        <f t="shared" si="9"/>
        <v>0.2222222222</v>
      </c>
      <c r="G9" s="33">
        <f>E9/T9</f>
        <v>0.4444444444</v>
      </c>
      <c r="H9" s="32">
        <v>3.0</v>
      </c>
      <c r="I9" s="33">
        <f t="shared" si="11"/>
        <v>0.25</v>
      </c>
      <c r="J9" s="33">
        <f>H9/T9</f>
        <v>0.3333333333</v>
      </c>
      <c r="K9" s="32">
        <v>5.0</v>
      </c>
      <c r="L9" s="35">
        <f t="shared" si="12"/>
        <v>0.5555555556</v>
      </c>
      <c r="M9" s="35">
        <f>K9/9</f>
        <v>0.5555555556</v>
      </c>
      <c r="N9" s="32">
        <v>5.0</v>
      </c>
      <c r="O9" s="33">
        <f t="shared" si="13"/>
        <v>0.3333333333</v>
      </c>
      <c r="P9" s="33">
        <f>N9/9</f>
        <v>0.5555555556</v>
      </c>
      <c r="Q9" s="32">
        <v>7.0</v>
      </c>
      <c r="R9" s="33">
        <f t="shared" ref="R9:R12" si="14">Q9/$Q$8</f>
        <v>0.3333333333</v>
      </c>
      <c r="S9" s="39">
        <f>Q9/9</f>
        <v>0.7777777778</v>
      </c>
      <c r="T9" s="38">
        <v>9.0</v>
      </c>
      <c r="U9" s="33"/>
      <c r="V9" s="33"/>
      <c r="W9" s="32">
        <v>5.0</v>
      </c>
      <c r="X9" s="35">
        <f t="shared" si="6"/>
        <v>0.625</v>
      </c>
      <c r="Y9" s="35">
        <f>W9/9</f>
        <v>0.5555555556</v>
      </c>
      <c r="Z9" s="32">
        <v>4.0</v>
      </c>
      <c r="AA9" s="33">
        <f t="shared" si="7"/>
        <v>0.25</v>
      </c>
      <c r="AB9" s="33">
        <f>Z9/9</f>
        <v>0.4444444444</v>
      </c>
      <c r="AC9" s="36">
        <v>5.0</v>
      </c>
      <c r="AD9" s="37">
        <f t="shared" si="8"/>
        <v>0.25</v>
      </c>
      <c r="AE9" s="33">
        <f>AC9/9</f>
        <v>0.5555555556</v>
      </c>
    </row>
    <row r="10">
      <c r="A10" s="25" t="s">
        <v>52</v>
      </c>
      <c r="B10" s="32">
        <v>6.0</v>
      </c>
      <c r="C10" s="33">
        <f t="shared" si="10"/>
        <v>0.2727272727</v>
      </c>
      <c r="D10" s="33">
        <f>B10/W10</f>
        <v>0.75</v>
      </c>
      <c r="E10" s="32">
        <v>5.0</v>
      </c>
      <c r="F10" s="33">
        <f t="shared" si="9"/>
        <v>0.2777777778</v>
      </c>
      <c r="G10" s="33">
        <f>E10/W10</f>
        <v>0.625</v>
      </c>
      <c r="H10" s="32">
        <v>4.0</v>
      </c>
      <c r="I10" s="33">
        <f t="shared" si="11"/>
        <v>0.3333333333</v>
      </c>
      <c r="J10" s="33">
        <f>H10/W10</f>
        <v>0.5</v>
      </c>
      <c r="K10" s="32">
        <v>4.0</v>
      </c>
      <c r="L10" s="33">
        <f t="shared" si="12"/>
        <v>0.4444444444</v>
      </c>
      <c r="M10" s="33">
        <f>K10/8</f>
        <v>0.5</v>
      </c>
      <c r="N10" s="32">
        <v>6.0</v>
      </c>
      <c r="O10" s="33">
        <f t="shared" si="13"/>
        <v>0.4</v>
      </c>
      <c r="P10" s="43">
        <f>N10/8</f>
        <v>0.75</v>
      </c>
      <c r="Q10" s="32">
        <v>5.0</v>
      </c>
      <c r="R10" s="33">
        <f t="shared" si="14"/>
        <v>0.2380952381</v>
      </c>
      <c r="S10" s="33">
        <f>Q10/8</f>
        <v>0.625</v>
      </c>
      <c r="T10" s="32">
        <v>5.0</v>
      </c>
      <c r="U10" s="35">
        <f t="shared" ref="U10:U12" si="15">T10/$T$9</f>
        <v>0.5555555556</v>
      </c>
      <c r="V10" s="35">
        <f>T10/8</f>
        <v>0.625</v>
      </c>
      <c r="W10" s="38">
        <v>8.0</v>
      </c>
      <c r="X10" s="33"/>
      <c r="Y10" s="33"/>
      <c r="Z10" s="32">
        <v>5.0</v>
      </c>
      <c r="AA10" s="33">
        <f t="shared" si="7"/>
        <v>0.3125</v>
      </c>
      <c r="AB10" s="33">
        <f>Z10/8</f>
        <v>0.625</v>
      </c>
      <c r="AC10" s="36">
        <v>6.0</v>
      </c>
      <c r="AD10" s="37">
        <f t="shared" si="8"/>
        <v>0.3</v>
      </c>
      <c r="AE10" s="33">
        <f>AC10/8</f>
        <v>0.75</v>
      </c>
    </row>
    <row r="11">
      <c r="A11" s="25" t="s">
        <v>53</v>
      </c>
      <c r="B11" s="32">
        <v>7.0</v>
      </c>
      <c r="C11" s="33">
        <f t="shared" si="10"/>
        <v>0.3181818182</v>
      </c>
      <c r="D11" s="33">
        <f>B11/Z11</f>
        <v>0.4375</v>
      </c>
      <c r="E11" s="32">
        <v>10.0</v>
      </c>
      <c r="F11" s="35">
        <f t="shared" si="9"/>
        <v>0.5555555556</v>
      </c>
      <c r="G11" s="35">
        <f>E11/Z11</f>
        <v>0.625</v>
      </c>
      <c r="H11" s="32">
        <v>6.0</v>
      </c>
      <c r="I11" s="33">
        <f t="shared" si="11"/>
        <v>0.5</v>
      </c>
      <c r="J11" s="33">
        <f>H11/Z11</f>
        <v>0.375</v>
      </c>
      <c r="K11" s="32">
        <v>7.0</v>
      </c>
      <c r="L11" s="33">
        <f t="shared" si="12"/>
        <v>0.7777777778</v>
      </c>
      <c r="M11" s="33">
        <f>K11/16</f>
        <v>0.4375</v>
      </c>
      <c r="N11" s="32">
        <v>11.0</v>
      </c>
      <c r="O11" s="40">
        <f t="shared" si="13"/>
        <v>0.7333333333</v>
      </c>
      <c r="P11" s="40">
        <f>N11/16</f>
        <v>0.6875</v>
      </c>
      <c r="Q11" s="32">
        <v>11.0</v>
      </c>
      <c r="R11" s="40">
        <f t="shared" si="14"/>
        <v>0.5238095238</v>
      </c>
      <c r="S11" s="40">
        <f>Q11/16</f>
        <v>0.6875</v>
      </c>
      <c r="T11" s="32">
        <v>4.0</v>
      </c>
      <c r="U11" s="33">
        <f t="shared" si="15"/>
        <v>0.4444444444</v>
      </c>
      <c r="V11" s="33">
        <f>T11/16</f>
        <v>0.25</v>
      </c>
      <c r="W11" s="32">
        <v>5.0</v>
      </c>
      <c r="X11" s="33">
        <f t="shared" ref="X11:X12" si="16">W11/$W$10</f>
        <v>0.625</v>
      </c>
      <c r="Y11" s="33">
        <f>W11/16</f>
        <v>0.3125</v>
      </c>
      <c r="Z11" s="38">
        <v>16.0</v>
      </c>
      <c r="AA11" s="33"/>
      <c r="AB11" s="33"/>
      <c r="AC11" s="44">
        <v>10.0</v>
      </c>
      <c r="AD11" s="45">
        <f t="shared" si="8"/>
        <v>0.5</v>
      </c>
      <c r="AE11" s="33">
        <f>AC11/16</f>
        <v>0.625</v>
      </c>
    </row>
    <row r="12">
      <c r="A12" s="26" t="s">
        <v>54</v>
      </c>
      <c r="B12" s="32">
        <v>10.0</v>
      </c>
      <c r="C12" s="46">
        <f t="shared" si="10"/>
        <v>0.4545454545</v>
      </c>
      <c r="D12" s="33">
        <f>B12/AC12</f>
        <v>0.5</v>
      </c>
      <c r="E12" s="32">
        <v>10.0</v>
      </c>
      <c r="F12" s="46">
        <f t="shared" si="9"/>
        <v>0.5555555556</v>
      </c>
      <c r="G12" s="33">
        <f>E12/AC12</f>
        <v>0.5</v>
      </c>
      <c r="H12" s="32">
        <v>7.0</v>
      </c>
      <c r="I12" s="46">
        <f t="shared" si="11"/>
        <v>0.5833333333</v>
      </c>
      <c r="J12" s="33">
        <f>H12/AC12</f>
        <v>0.35</v>
      </c>
      <c r="K12" s="32">
        <v>7.0</v>
      </c>
      <c r="L12" s="46">
        <f t="shared" si="12"/>
        <v>0.7777777778</v>
      </c>
      <c r="M12" s="33">
        <f>7/20</f>
        <v>0.35</v>
      </c>
      <c r="N12" s="32">
        <v>9.0</v>
      </c>
      <c r="O12" s="33">
        <f t="shared" si="13"/>
        <v>0.6</v>
      </c>
      <c r="P12" s="33">
        <f>N12/20</f>
        <v>0.45</v>
      </c>
      <c r="Q12" s="32">
        <v>12.0</v>
      </c>
      <c r="R12" s="46">
        <f t="shared" si="14"/>
        <v>0.5714285714</v>
      </c>
      <c r="S12" s="33">
        <f>Q12/20</f>
        <v>0.6</v>
      </c>
      <c r="T12" s="32">
        <v>5.0</v>
      </c>
      <c r="U12" s="46">
        <f t="shared" si="15"/>
        <v>0.5555555556</v>
      </c>
      <c r="V12" s="33">
        <f>T12/20</f>
        <v>0.25</v>
      </c>
      <c r="W12" s="32">
        <v>6.0</v>
      </c>
      <c r="X12" s="46">
        <f t="shared" si="16"/>
        <v>0.75</v>
      </c>
      <c r="Y12" s="33">
        <f>W12/20</f>
        <v>0.3</v>
      </c>
      <c r="Z12" s="32">
        <v>10.0</v>
      </c>
      <c r="AA12" s="46">
        <f>Z12/$Z$11</f>
        <v>0.625</v>
      </c>
      <c r="AB12" s="33">
        <f>Z12/20</f>
        <v>0.5</v>
      </c>
      <c r="AC12" s="38">
        <v>20.0</v>
      </c>
      <c r="AE12" s="33"/>
    </row>
    <row r="14">
      <c r="B14" s="25" t="s">
        <v>49</v>
      </c>
      <c r="E14" s="25" t="s">
        <v>50</v>
      </c>
      <c r="H14" s="25" t="s">
        <v>53</v>
      </c>
      <c r="K14" s="26" t="s">
        <v>54</v>
      </c>
      <c r="L14" s="26"/>
      <c r="M14" s="26"/>
    </row>
    <row r="15">
      <c r="B15" s="27" t="s">
        <v>55</v>
      </c>
      <c r="C15" s="27" t="s">
        <v>56</v>
      </c>
      <c r="D15" s="27" t="s">
        <v>57</v>
      </c>
      <c r="E15" s="27" t="s">
        <v>55</v>
      </c>
      <c r="F15" s="27" t="s">
        <v>56</v>
      </c>
      <c r="G15" s="27" t="s">
        <v>57</v>
      </c>
      <c r="H15" s="27" t="s">
        <v>55</v>
      </c>
      <c r="I15" s="27" t="s">
        <v>56</v>
      </c>
      <c r="J15" s="27" t="s">
        <v>57</v>
      </c>
      <c r="K15" s="28" t="s">
        <v>55</v>
      </c>
      <c r="L15" s="29" t="s">
        <v>56</v>
      </c>
    </row>
    <row r="16" hidden="1">
      <c r="A16" s="25" t="s">
        <v>45</v>
      </c>
      <c r="B16" s="32">
        <v>8.0</v>
      </c>
      <c r="C16" s="33">
        <f t="shared" ref="C16:C19" si="17">B16/15</f>
        <v>0.5333333333</v>
      </c>
      <c r="D16" s="33">
        <f>B16/22</f>
        <v>0.3636363636</v>
      </c>
      <c r="E16" s="32">
        <v>11.0</v>
      </c>
      <c r="F16" s="35">
        <f t="shared" ref="F16:F20" si="18">E16/$Q$8</f>
        <v>0.5238095238</v>
      </c>
      <c r="G16" s="35">
        <f>E16/22</f>
        <v>0.5</v>
      </c>
      <c r="H16" s="32">
        <v>7.0</v>
      </c>
      <c r="I16" s="33">
        <f t="shared" ref="I16:I23" si="19">H16/$Z$11</f>
        <v>0.4375</v>
      </c>
      <c r="J16" s="33">
        <f>H16/22</f>
        <v>0.3181818182</v>
      </c>
      <c r="K16" s="36">
        <v>10.0</v>
      </c>
      <c r="L16" s="37">
        <f t="shared" ref="L16:L24" si="20">K16/$AC$12</f>
        <v>0.5</v>
      </c>
      <c r="M16" s="33"/>
    </row>
    <row r="17" hidden="1">
      <c r="A17" s="25" t="s">
        <v>46</v>
      </c>
      <c r="B17" s="32">
        <v>8.0</v>
      </c>
      <c r="C17" s="33">
        <f t="shared" si="17"/>
        <v>0.5333333333</v>
      </c>
      <c r="D17" s="33">
        <f>B17/18</f>
        <v>0.4444444444</v>
      </c>
      <c r="E17" s="32">
        <v>8.0</v>
      </c>
      <c r="F17" s="33">
        <f t="shared" si="18"/>
        <v>0.380952381</v>
      </c>
      <c r="G17" s="33">
        <f>E17/18</f>
        <v>0.4444444444</v>
      </c>
      <c r="H17" s="32">
        <v>10.0</v>
      </c>
      <c r="I17" s="35">
        <f t="shared" si="19"/>
        <v>0.625</v>
      </c>
      <c r="J17" s="35">
        <f>H17/18</f>
        <v>0.5555555556</v>
      </c>
      <c r="K17" s="36">
        <v>10.0</v>
      </c>
      <c r="L17" s="37">
        <f t="shared" si="20"/>
        <v>0.5</v>
      </c>
      <c r="M17" s="33"/>
    </row>
    <row r="18" hidden="1">
      <c r="A18" s="25" t="s">
        <v>47</v>
      </c>
      <c r="B18" s="32">
        <v>5.0</v>
      </c>
      <c r="C18" s="33">
        <f t="shared" si="17"/>
        <v>0.3333333333</v>
      </c>
      <c r="D18" s="33">
        <f>B18/12</f>
        <v>0.4166666667</v>
      </c>
      <c r="E18" s="32">
        <v>9.0</v>
      </c>
      <c r="F18" s="33">
        <f t="shared" si="18"/>
        <v>0.4285714286</v>
      </c>
      <c r="G18" s="39">
        <f>E18/12</f>
        <v>0.75</v>
      </c>
      <c r="H18" s="32">
        <v>6.0</v>
      </c>
      <c r="I18" s="33">
        <f t="shared" si="19"/>
        <v>0.375</v>
      </c>
      <c r="J18" s="33">
        <f>H18/12</f>
        <v>0.5</v>
      </c>
      <c r="K18" s="36">
        <v>7.0</v>
      </c>
      <c r="L18" s="37">
        <f t="shared" si="20"/>
        <v>0.35</v>
      </c>
      <c r="M18" s="33"/>
    </row>
    <row r="19" hidden="1">
      <c r="A19" s="25" t="s">
        <v>48</v>
      </c>
      <c r="B19" s="32">
        <v>6.0</v>
      </c>
      <c r="C19" s="33">
        <f t="shared" si="17"/>
        <v>0.4</v>
      </c>
      <c r="D19" s="33">
        <f>B19/9</f>
        <v>0.6666666667</v>
      </c>
      <c r="E19" s="32">
        <v>6.0</v>
      </c>
      <c r="F19" s="33">
        <f t="shared" si="18"/>
        <v>0.2857142857</v>
      </c>
      <c r="G19" s="33">
        <f>E19/9</f>
        <v>0.6666666667</v>
      </c>
      <c r="H19" s="32">
        <v>7.0</v>
      </c>
      <c r="I19" s="33">
        <f t="shared" si="19"/>
        <v>0.4375</v>
      </c>
      <c r="J19" s="39">
        <f>H19/9</f>
        <v>0.7777777778</v>
      </c>
      <c r="K19" s="36">
        <v>7.0</v>
      </c>
      <c r="L19" s="37">
        <f t="shared" si="20"/>
        <v>0.35</v>
      </c>
      <c r="M19" s="33"/>
    </row>
    <row r="20">
      <c r="A20" s="25" t="s">
        <v>49</v>
      </c>
      <c r="B20" s="38">
        <v>15.0</v>
      </c>
      <c r="C20" s="33"/>
      <c r="D20" s="31"/>
      <c r="E20" s="32">
        <v>11.0</v>
      </c>
      <c r="F20" s="40">
        <f t="shared" si="18"/>
        <v>0.5238095238</v>
      </c>
      <c r="G20" s="41">
        <f>E20/15</f>
        <v>0.7333333333</v>
      </c>
      <c r="H20" s="32">
        <v>11.0</v>
      </c>
      <c r="I20" s="35">
        <f t="shared" si="19"/>
        <v>0.6875</v>
      </c>
      <c r="J20" s="42">
        <f>H20/15</f>
        <v>0.7333333333</v>
      </c>
      <c r="K20" s="36">
        <v>9.0</v>
      </c>
      <c r="L20" s="37">
        <f t="shared" si="20"/>
        <v>0.45</v>
      </c>
      <c r="M20" s="31"/>
    </row>
    <row r="21">
      <c r="A21" s="25" t="s">
        <v>50</v>
      </c>
      <c r="B21" s="32">
        <v>11.0</v>
      </c>
      <c r="C21" s="35">
        <f t="shared" ref="C21:C25" si="21">B21/15</f>
        <v>0.7333333333</v>
      </c>
      <c r="D21" s="35">
        <f>B21/21</f>
        <v>0.5238095238</v>
      </c>
      <c r="E21" s="38">
        <v>21.0</v>
      </c>
      <c r="F21" s="33"/>
      <c r="G21" s="33"/>
      <c r="H21" s="32">
        <v>11.0</v>
      </c>
      <c r="I21" s="35">
        <f t="shared" si="19"/>
        <v>0.6875</v>
      </c>
      <c r="J21" s="35">
        <f>H21/21</f>
        <v>0.5238095238</v>
      </c>
      <c r="K21" s="36">
        <v>12.0</v>
      </c>
      <c r="L21" s="37">
        <f t="shared" si="20"/>
        <v>0.6</v>
      </c>
      <c r="M21" s="33"/>
    </row>
    <row r="22" hidden="1">
      <c r="A22" s="25" t="s">
        <v>51</v>
      </c>
      <c r="B22" s="32">
        <v>5.0</v>
      </c>
      <c r="C22" s="33">
        <f t="shared" si="21"/>
        <v>0.3333333333</v>
      </c>
      <c r="D22" s="33">
        <f>B22/9</f>
        <v>0.5555555556</v>
      </c>
      <c r="E22" s="32">
        <v>7.0</v>
      </c>
      <c r="F22" s="33">
        <f t="shared" ref="F22:F25" si="22">E22/$Q$8</f>
        <v>0.3333333333</v>
      </c>
      <c r="G22" s="39">
        <f>E22/9</f>
        <v>0.7777777778</v>
      </c>
      <c r="H22" s="32">
        <v>4.0</v>
      </c>
      <c r="I22" s="33">
        <f t="shared" si="19"/>
        <v>0.25</v>
      </c>
      <c r="J22" s="33">
        <f>H22/9</f>
        <v>0.4444444444</v>
      </c>
      <c r="K22" s="36">
        <v>5.0</v>
      </c>
      <c r="L22" s="37">
        <f t="shared" si="20"/>
        <v>0.25</v>
      </c>
      <c r="M22" s="33"/>
    </row>
    <row r="23" hidden="1">
      <c r="A23" s="25" t="s">
        <v>52</v>
      </c>
      <c r="B23" s="32">
        <v>6.0</v>
      </c>
      <c r="C23" s="33">
        <f t="shared" si="21"/>
        <v>0.4</v>
      </c>
      <c r="D23" s="43">
        <f>B23/8</f>
        <v>0.75</v>
      </c>
      <c r="E23" s="32">
        <v>5.0</v>
      </c>
      <c r="F23" s="33">
        <f t="shared" si="22"/>
        <v>0.2380952381</v>
      </c>
      <c r="G23" s="33">
        <f>E23/8</f>
        <v>0.625</v>
      </c>
      <c r="H23" s="32">
        <v>5.0</v>
      </c>
      <c r="I23" s="33">
        <f t="shared" si="19"/>
        <v>0.3125</v>
      </c>
      <c r="J23" s="33">
        <f>H23/8</f>
        <v>0.625</v>
      </c>
      <c r="K23" s="36">
        <v>6.0</v>
      </c>
      <c r="L23" s="37">
        <f t="shared" si="20"/>
        <v>0.3</v>
      </c>
      <c r="M23" s="33"/>
    </row>
    <row r="24">
      <c r="A24" s="25" t="s">
        <v>53</v>
      </c>
      <c r="B24" s="32">
        <v>11.0</v>
      </c>
      <c r="C24" s="40">
        <f t="shared" si="21"/>
        <v>0.7333333333</v>
      </c>
      <c r="D24" s="40">
        <f>B24/16</f>
        <v>0.6875</v>
      </c>
      <c r="E24" s="32">
        <v>11.0</v>
      </c>
      <c r="F24" s="40">
        <f t="shared" si="22"/>
        <v>0.5238095238</v>
      </c>
      <c r="G24" s="40">
        <f>E24/16</f>
        <v>0.6875</v>
      </c>
      <c r="H24" s="38">
        <v>16.0</v>
      </c>
      <c r="I24" s="33"/>
      <c r="J24" s="33"/>
      <c r="K24" s="44">
        <v>10.0</v>
      </c>
      <c r="L24" s="45">
        <f t="shared" si="20"/>
        <v>0.5</v>
      </c>
      <c r="M24" s="33"/>
    </row>
    <row r="25">
      <c r="A25" s="26" t="s">
        <v>54</v>
      </c>
      <c r="B25" s="32">
        <v>9.0</v>
      </c>
      <c r="C25" s="33">
        <f t="shared" si="21"/>
        <v>0.6</v>
      </c>
      <c r="D25" s="33">
        <f>B25/20</f>
        <v>0.45</v>
      </c>
      <c r="E25" s="32">
        <v>12.0</v>
      </c>
      <c r="F25" s="46">
        <f t="shared" si="22"/>
        <v>0.5714285714</v>
      </c>
      <c r="G25" s="33">
        <f>E25/20</f>
        <v>0.6</v>
      </c>
      <c r="H25" s="32">
        <v>10.0</v>
      </c>
      <c r="I25" s="46">
        <f>H25/$Z$11</f>
        <v>0.625</v>
      </c>
      <c r="J25" s="33">
        <f>H25/20</f>
        <v>0.5</v>
      </c>
      <c r="K25" s="38">
        <v>20.0</v>
      </c>
      <c r="M25" s="33"/>
    </row>
  </sheetData>
  <mergeCells count="13">
    <mergeCell ref="W1:Y1"/>
    <mergeCell ref="Z1:AB1"/>
    <mergeCell ref="AC1:AE1"/>
    <mergeCell ref="B14:D14"/>
    <mergeCell ref="E14:G14"/>
    <mergeCell ref="H14:J14"/>
    <mergeCell ref="B1:D1"/>
    <mergeCell ref="E1:G1"/>
    <mergeCell ref="H1:J1"/>
    <mergeCell ref="K1:M1"/>
    <mergeCell ref="N1:P1"/>
    <mergeCell ref="Q1:S1"/>
    <mergeCell ref="T1:V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58</v>
      </c>
      <c r="B1" s="27" t="s">
        <v>59</v>
      </c>
      <c r="C1" s="27" t="s">
        <v>6</v>
      </c>
      <c r="D1" s="27" t="s">
        <v>7</v>
      </c>
      <c r="E1" s="27" t="s">
        <v>60</v>
      </c>
      <c r="F1" s="27" t="s">
        <v>61</v>
      </c>
    </row>
    <row r="2">
      <c r="A2" s="47" t="s">
        <v>62</v>
      </c>
      <c r="B2" s="47" t="s">
        <v>62</v>
      </c>
      <c r="C2" s="48" t="s">
        <v>11</v>
      </c>
      <c r="D2" s="48">
        <v>23.0</v>
      </c>
      <c r="E2" s="48" t="s">
        <v>10</v>
      </c>
      <c r="F2" s="48" t="s">
        <v>9</v>
      </c>
    </row>
    <row r="3">
      <c r="A3" s="47" t="s">
        <v>63</v>
      </c>
      <c r="B3" s="47" t="s">
        <v>63</v>
      </c>
      <c r="C3" s="27" t="s">
        <v>13</v>
      </c>
      <c r="D3" s="27">
        <v>22.0</v>
      </c>
      <c r="E3" s="27" t="s">
        <v>10</v>
      </c>
      <c r="F3" s="27" t="s">
        <v>9</v>
      </c>
    </row>
    <row r="4">
      <c r="A4" s="47" t="s">
        <v>64</v>
      </c>
      <c r="B4" s="47" t="s">
        <v>64</v>
      </c>
      <c r="C4" s="27" t="s">
        <v>11</v>
      </c>
      <c r="D4" s="27">
        <v>22.0</v>
      </c>
      <c r="E4" s="27" t="s">
        <v>10</v>
      </c>
      <c r="F4" s="27" t="s">
        <v>15</v>
      </c>
    </row>
    <row r="5">
      <c r="A5" s="47" t="s">
        <v>65</v>
      </c>
      <c r="B5" s="47" t="s">
        <v>65</v>
      </c>
      <c r="C5" s="27" t="s">
        <v>11</v>
      </c>
      <c r="D5" s="27">
        <v>23.0</v>
      </c>
      <c r="E5" s="27" t="s">
        <v>10</v>
      </c>
      <c r="F5" s="27" t="s">
        <v>9</v>
      </c>
    </row>
    <row r="6">
      <c r="A6" s="47" t="s">
        <v>66</v>
      </c>
      <c r="B6" s="47" t="s">
        <v>66</v>
      </c>
      <c r="C6" s="27" t="s">
        <v>11</v>
      </c>
      <c r="D6" s="27">
        <v>27.0</v>
      </c>
      <c r="E6" s="27" t="s">
        <v>10</v>
      </c>
      <c r="F6" s="27" t="s">
        <v>9</v>
      </c>
    </row>
    <row r="7">
      <c r="A7" s="47" t="s">
        <v>67</v>
      </c>
      <c r="B7" s="47" t="s">
        <v>67</v>
      </c>
      <c r="C7" s="27" t="s">
        <v>11</v>
      </c>
      <c r="D7" s="27">
        <v>25.0</v>
      </c>
      <c r="E7" s="27" t="s">
        <v>10</v>
      </c>
      <c r="F7" s="27" t="s">
        <v>15</v>
      </c>
    </row>
    <row r="8">
      <c r="A8" s="47" t="s">
        <v>68</v>
      </c>
      <c r="B8" s="47" t="s">
        <v>68</v>
      </c>
      <c r="C8" s="27" t="s">
        <v>11</v>
      </c>
      <c r="D8" s="27">
        <v>24.0</v>
      </c>
      <c r="E8" s="27" t="s">
        <v>10</v>
      </c>
      <c r="F8" s="27" t="s">
        <v>15</v>
      </c>
    </row>
    <row r="9">
      <c r="A9" s="47" t="s">
        <v>69</v>
      </c>
      <c r="B9" s="47" t="s">
        <v>69</v>
      </c>
      <c r="C9" s="27" t="s">
        <v>11</v>
      </c>
      <c r="D9" s="27">
        <v>23.0</v>
      </c>
      <c r="E9" s="27" t="s">
        <v>10</v>
      </c>
      <c r="F9" s="27" t="s">
        <v>15</v>
      </c>
    </row>
    <row r="10">
      <c r="A10" s="47" t="s">
        <v>70</v>
      </c>
      <c r="B10" s="47" t="s">
        <v>70</v>
      </c>
      <c r="C10" s="27" t="s">
        <v>11</v>
      </c>
      <c r="D10" s="27">
        <v>23.0</v>
      </c>
      <c r="E10" s="27" t="s">
        <v>10</v>
      </c>
      <c r="F10" s="27" t="s">
        <v>9</v>
      </c>
    </row>
    <row r="11">
      <c r="A11" s="47" t="s">
        <v>71</v>
      </c>
      <c r="B11" s="47" t="s">
        <v>71</v>
      </c>
      <c r="C11" s="27" t="s">
        <v>11</v>
      </c>
      <c r="D11" s="27">
        <v>24.0</v>
      </c>
      <c r="E11" s="27" t="s">
        <v>23</v>
      </c>
      <c r="F11" s="27" t="s">
        <v>15</v>
      </c>
    </row>
    <row r="12">
      <c r="A12" s="47" t="s">
        <v>72</v>
      </c>
      <c r="B12" s="47" t="s">
        <v>72</v>
      </c>
      <c r="C12" s="27" t="s">
        <v>11</v>
      </c>
      <c r="D12" s="27">
        <v>25.0</v>
      </c>
      <c r="E12" s="27" t="s">
        <v>10</v>
      </c>
      <c r="F12" s="27" t="s">
        <v>9</v>
      </c>
    </row>
    <row r="13">
      <c r="A13" s="47" t="s">
        <v>73</v>
      </c>
      <c r="B13" s="47" t="s">
        <v>73</v>
      </c>
      <c r="C13" s="27" t="s">
        <v>11</v>
      </c>
      <c r="D13" s="27">
        <v>28.0</v>
      </c>
      <c r="E13" s="27" t="s">
        <v>10</v>
      </c>
      <c r="F13" s="27" t="s">
        <v>15</v>
      </c>
    </row>
    <row r="14">
      <c r="A14" s="47" t="s">
        <v>74</v>
      </c>
      <c r="B14" s="47" t="s">
        <v>74</v>
      </c>
      <c r="C14" s="27" t="s">
        <v>11</v>
      </c>
      <c r="D14" s="27">
        <v>22.0</v>
      </c>
      <c r="E14" s="27" t="s">
        <v>26</v>
      </c>
      <c r="F14" s="27" t="s">
        <v>9</v>
      </c>
    </row>
    <row r="15">
      <c r="A15" s="47" t="s">
        <v>75</v>
      </c>
      <c r="B15" s="47" t="s">
        <v>75</v>
      </c>
      <c r="C15" s="27" t="s">
        <v>11</v>
      </c>
      <c r="D15" s="27">
        <v>23.0</v>
      </c>
      <c r="E15" s="27" t="s">
        <v>10</v>
      </c>
      <c r="F15" s="27" t="s">
        <v>15</v>
      </c>
    </row>
    <row r="16">
      <c r="A16" s="47" t="s">
        <v>76</v>
      </c>
      <c r="B16" s="47" t="s">
        <v>76</v>
      </c>
      <c r="C16" s="27" t="s">
        <v>11</v>
      </c>
      <c r="D16" s="27">
        <v>22.0</v>
      </c>
      <c r="E16" s="27" t="s">
        <v>10</v>
      </c>
      <c r="F16" s="27" t="s">
        <v>15</v>
      </c>
    </row>
    <row r="17">
      <c r="A17" s="47" t="s">
        <v>77</v>
      </c>
      <c r="B17" s="47" t="s">
        <v>77</v>
      </c>
      <c r="C17" s="27" t="s">
        <v>11</v>
      </c>
      <c r="D17" s="27">
        <v>24.0</v>
      </c>
      <c r="E17" s="27" t="s">
        <v>10</v>
      </c>
      <c r="F17" s="27" t="s">
        <v>9</v>
      </c>
    </row>
    <row r="18">
      <c r="A18" s="47" t="s">
        <v>78</v>
      </c>
      <c r="B18" s="47" t="s">
        <v>78</v>
      </c>
      <c r="C18" s="27" t="s">
        <v>11</v>
      </c>
      <c r="D18" s="27">
        <v>23.0</v>
      </c>
      <c r="E18" s="27" t="s">
        <v>26</v>
      </c>
      <c r="F18" s="27" t="s">
        <v>15</v>
      </c>
    </row>
    <row r="19">
      <c r="A19" s="47" t="s">
        <v>79</v>
      </c>
      <c r="B19" s="47" t="s">
        <v>79</v>
      </c>
      <c r="C19" s="27" t="s">
        <v>13</v>
      </c>
      <c r="D19" s="27">
        <v>25.0</v>
      </c>
      <c r="E19" s="27" t="s">
        <v>31</v>
      </c>
      <c r="F19" s="27" t="s">
        <v>9</v>
      </c>
    </row>
    <row r="20">
      <c r="A20" s="47" t="s">
        <v>80</v>
      </c>
      <c r="B20" s="47" t="s">
        <v>80</v>
      </c>
      <c r="C20" s="27" t="s">
        <v>11</v>
      </c>
      <c r="D20" s="27">
        <v>21.0</v>
      </c>
      <c r="E20" s="27" t="s">
        <v>10</v>
      </c>
      <c r="F20" s="27" t="s">
        <v>15</v>
      </c>
    </row>
    <row r="21">
      <c r="A21" s="47" t="s">
        <v>81</v>
      </c>
      <c r="B21" s="47" t="s">
        <v>81</v>
      </c>
      <c r="C21" s="27" t="s">
        <v>13</v>
      </c>
      <c r="D21" s="27">
        <v>24.0</v>
      </c>
      <c r="E21" s="27" t="s">
        <v>23</v>
      </c>
      <c r="F21" s="27" t="s">
        <v>9</v>
      </c>
    </row>
    <row r="22">
      <c r="A22" s="47" t="s">
        <v>82</v>
      </c>
      <c r="B22" s="47" t="s">
        <v>82</v>
      </c>
      <c r="C22" s="27" t="s">
        <v>13</v>
      </c>
      <c r="D22" s="27">
        <v>23.0</v>
      </c>
      <c r="E22" s="27" t="s">
        <v>10</v>
      </c>
      <c r="F22" s="27" t="s">
        <v>9</v>
      </c>
    </row>
    <row r="23">
      <c r="A23" s="47" t="s">
        <v>83</v>
      </c>
      <c r="B23" s="47" t="s">
        <v>83</v>
      </c>
      <c r="C23" s="27" t="s">
        <v>11</v>
      </c>
      <c r="D23" s="27">
        <v>23.0</v>
      </c>
      <c r="E23" s="27" t="s">
        <v>10</v>
      </c>
      <c r="F23" s="27" t="s">
        <v>15</v>
      </c>
    </row>
    <row r="24">
      <c r="A24" s="47" t="s">
        <v>84</v>
      </c>
      <c r="B24" s="47" t="s">
        <v>84</v>
      </c>
      <c r="C24" s="27" t="s">
        <v>11</v>
      </c>
      <c r="D24" s="27">
        <v>24.0</v>
      </c>
      <c r="E24" s="27" t="s">
        <v>10</v>
      </c>
      <c r="F24" s="27" t="s">
        <v>9</v>
      </c>
    </row>
    <row r="25">
      <c r="A25" s="47" t="s">
        <v>85</v>
      </c>
      <c r="B25" s="47" t="s">
        <v>85</v>
      </c>
      <c r="C25" s="27" t="s">
        <v>11</v>
      </c>
      <c r="D25" s="27">
        <v>23.0</v>
      </c>
      <c r="E25" s="27" t="s">
        <v>10</v>
      </c>
      <c r="F25" s="27" t="s">
        <v>9</v>
      </c>
    </row>
    <row r="26">
      <c r="A26" s="47" t="s">
        <v>86</v>
      </c>
      <c r="B26" s="47" t="s">
        <v>86</v>
      </c>
      <c r="C26" s="27" t="s">
        <v>11</v>
      </c>
      <c r="D26" s="27">
        <v>35.0</v>
      </c>
      <c r="E26" s="27" t="s">
        <v>10</v>
      </c>
      <c r="F26" s="27" t="s">
        <v>15</v>
      </c>
    </row>
    <row r="27">
      <c r="A27" s="47" t="s">
        <v>87</v>
      </c>
      <c r="B27" s="47" t="s">
        <v>87</v>
      </c>
      <c r="C27" s="27" t="s">
        <v>11</v>
      </c>
      <c r="D27" s="27">
        <v>25.0</v>
      </c>
      <c r="E27" s="27" t="s">
        <v>10</v>
      </c>
      <c r="F27" s="27" t="s">
        <v>15</v>
      </c>
    </row>
    <row r="28">
      <c r="A28" s="47" t="s">
        <v>88</v>
      </c>
      <c r="B28" s="47" t="s">
        <v>88</v>
      </c>
      <c r="C28" s="27" t="s">
        <v>11</v>
      </c>
      <c r="D28" s="27">
        <v>23.0</v>
      </c>
      <c r="E28" s="27" t="s">
        <v>10</v>
      </c>
      <c r="F28" s="27" t="s">
        <v>9</v>
      </c>
    </row>
    <row r="29">
      <c r="A29" s="47" t="s">
        <v>89</v>
      </c>
      <c r="B29" s="47" t="s">
        <v>89</v>
      </c>
      <c r="C29" s="27" t="s">
        <v>11</v>
      </c>
      <c r="D29" s="27">
        <v>22.0</v>
      </c>
      <c r="E29" s="27" t="s">
        <v>10</v>
      </c>
      <c r="F29" s="27" t="s">
        <v>15</v>
      </c>
    </row>
    <row r="30">
      <c r="A30" s="47" t="s">
        <v>90</v>
      </c>
      <c r="B30" s="47" t="s">
        <v>90</v>
      </c>
      <c r="C30" s="27" t="s">
        <v>11</v>
      </c>
      <c r="D30" s="27">
        <v>23.0</v>
      </c>
      <c r="E30" s="27" t="s">
        <v>10</v>
      </c>
      <c r="F30" s="27" t="s">
        <v>9</v>
      </c>
    </row>
    <row r="31">
      <c r="A31" s="47" t="s">
        <v>91</v>
      </c>
      <c r="B31" s="47" t="s">
        <v>91</v>
      </c>
      <c r="C31" s="27" t="s">
        <v>11</v>
      </c>
      <c r="D31" s="27">
        <v>25.0</v>
      </c>
      <c r="E31" s="27" t="s">
        <v>10</v>
      </c>
      <c r="F31" s="27" t="s">
        <v>15</v>
      </c>
    </row>
    <row r="32">
      <c r="A32" s="47" t="s">
        <v>92</v>
      </c>
      <c r="B32" s="47" t="s">
        <v>92</v>
      </c>
      <c r="C32" s="27" t="s">
        <v>11</v>
      </c>
      <c r="D32" s="27">
        <v>23.0</v>
      </c>
      <c r="E32" s="27" t="s">
        <v>26</v>
      </c>
      <c r="F32" s="27" t="s">
        <v>9</v>
      </c>
    </row>
    <row r="33">
      <c r="A33" s="47" t="s">
        <v>93</v>
      </c>
      <c r="B33" s="47" t="s">
        <v>93</v>
      </c>
      <c r="C33" s="27" t="s">
        <v>11</v>
      </c>
      <c r="D33" s="27">
        <v>24.0</v>
      </c>
      <c r="E33" s="27" t="s">
        <v>10</v>
      </c>
      <c r="F33" s="27" t="s">
        <v>15</v>
      </c>
    </row>
    <row r="34">
      <c r="A34" s="47" t="s">
        <v>94</v>
      </c>
      <c r="B34" s="47" t="s">
        <v>94</v>
      </c>
      <c r="C34" s="27" t="s">
        <v>13</v>
      </c>
      <c r="D34" s="27">
        <v>25.0</v>
      </c>
      <c r="E34" s="27" t="s">
        <v>10</v>
      </c>
      <c r="F34" s="27" t="s">
        <v>15</v>
      </c>
    </row>
    <row r="35">
      <c r="A35" s="47" t="s">
        <v>95</v>
      </c>
      <c r="B35" s="47" t="s">
        <v>95</v>
      </c>
      <c r="C35" s="27" t="s">
        <v>11</v>
      </c>
      <c r="D35" s="27">
        <v>23.0</v>
      </c>
      <c r="E35" s="27" t="s">
        <v>10</v>
      </c>
      <c r="F35" s="27" t="s">
        <v>15</v>
      </c>
    </row>
    <row r="36">
      <c r="A36" s="47" t="s">
        <v>96</v>
      </c>
      <c r="B36" s="47" t="s">
        <v>96</v>
      </c>
      <c r="C36" s="27" t="s">
        <v>11</v>
      </c>
      <c r="D36" s="27">
        <v>25.0</v>
      </c>
      <c r="E36" s="27" t="s">
        <v>23</v>
      </c>
      <c r="F36" s="27" t="s">
        <v>15</v>
      </c>
    </row>
    <row r="37">
      <c r="A37" s="47" t="s">
        <v>97</v>
      </c>
      <c r="B37" s="47" t="s">
        <v>97</v>
      </c>
      <c r="C37" s="27" t="s">
        <v>11</v>
      </c>
      <c r="D37" s="27">
        <v>29.0</v>
      </c>
      <c r="E37" s="27" t="s">
        <v>31</v>
      </c>
      <c r="F37" s="27" t="s">
        <v>15</v>
      </c>
    </row>
    <row r="38">
      <c r="A38" s="47" t="s">
        <v>98</v>
      </c>
      <c r="B38" s="47" t="s">
        <v>98</v>
      </c>
      <c r="C38" s="27" t="s">
        <v>11</v>
      </c>
      <c r="D38" s="27">
        <v>23.0</v>
      </c>
      <c r="E38" s="27" t="s">
        <v>26</v>
      </c>
      <c r="F38" s="27" t="s">
        <v>9</v>
      </c>
    </row>
    <row r="39">
      <c r="A39" s="47" t="s">
        <v>99</v>
      </c>
      <c r="B39" s="47" t="s">
        <v>99</v>
      </c>
      <c r="C39" s="27" t="s">
        <v>11</v>
      </c>
      <c r="D39" s="27">
        <v>22.0</v>
      </c>
      <c r="E39" s="27" t="s">
        <v>26</v>
      </c>
      <c r="F39" s="27" t="s">
        <v>15</v>
      </c>
    </row>
    <row r="40">
      <c r="A40" s="47" t="s">
        <v>100</v>
      </c>
      <c r="B40" s="47" t="s">
        <v>100</v>
      </c>
      <c r="C40" s="27" t="s">
        <v>11</v>
      </c>
      <c r="D40" s="27">
        <v>24.0</v>
      </c>
      <c r="E40" s="27" t="s">
        <v>10</v>
      </c>
      <c r="F40" s="27" t="s">
        <v>9</v>
      </c>
    </row>
    <row r="41">
      <c r="A41" s="47" t="s">
        <v>101</v>
      </c>
      <c r="B41" s="47" t="s">
        <v>101</v>
      </c>
      <c r="C41" s="27" t="s">
        <v>13</v>
      </c>
      <c r="D41" s="27">
        <v>23.0</v>
      </c>
      <c r="E41" s="27" t="s">
        <v>23</v>
      </c>
      <c r="F41" s="27" t="s">
        <v>9</v>
      </c>
    </row>
    <row r="42">
      <c r="A42" s="47" t="s">
        <v>102</v>
      </c>
      <c r="B42" s="47" t="s">
        <v>102</v>
      </c>
      <c r="C42" s="27" t="s">
        <v>11</v>
      </c>
      <c r="D42" s="27">
        <v>26.0</v>
      </c>
      <c r="E42" s="27" t="s">
        <v>10</v>
      </c>
      <c r="F42" s="27" t="s">
        <v>15</v>
      </c>
    </row>
    <row r="43">
      <c r="A43" s="47" t="s">
        <v>103</v>
      </c>
      <c r="B43" s="47" t="s">
        <v>103</v>
      </c>
      <c r="C43" s="27" t="s">
        <v>11</v>
      </c>
      <c r="D43" s="27">
        <v>23.0</v>
      </c>
      <c r="E43" s="27" t="s">
        <v>10</v>
      </c>
      <c r="F43" s="27" t="s">
        <v>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8" max="8" width="16.25"/>
  </cols>
  <sheetData>
    <row r="1">
      <c r="A1" s="49"/>
      <c r="B1" s="47" t="s">
        <v>104</v>
      </c>
      <c r="C1" s="47" t="s">
        <v>46</v>
      </c>
      <c r="D1" s="47" t="s">
        <v>47</v>
      </c>
      <c r="E1" s="47" t="s">
        <v>48</v>
      </c>
      <c r="F1" s="47" t="s">
        <v>49</v>
      </c>
      <c r="G1" s="47" t="s">
        <v>50</v>
      </c>
      <c r="H1" s="47" t="s">
        <v>51</v>
      </c>
      <c r="I1" s="47" t="s">
        <v>52</v>
      </c>
      <c r="J1" s="47" t="s">
        <v>53</v>
      </c>
      <c r="K1" s="47" t="s">
        <v>61</v>
      </c>
    </row>
    <row r="2">
      <c r="A2" s="47" t="s">
        <v>62</v>
      </c>
      <c r="B2" s="50">
        <v>1.0</v>
      </c>
      <c r="C2" s="50">
        <v>0.0</v>
      </c>
      <c r="D2" s="50">
        <v>0.0</v>
      </c>
      <c r="E2" s="50">
        <v>0.0</v>
      </c>
      <c r="F2" s="50">
        <v>1.0</v>
      </c>
      <c r="G2" s="50">
        <v>1.0</v>
      </c>
      <c r="H2" s="50">
        <v>0.0</v>
      </c>
      <c r="I2" s="50">
        <v>0.0</v>
      </c>
      <c r="J2" s="50">
        <v>0.0</v>
      </c>
      <c r="K2" s="50">
        <v>1.0</v>
      </c>
    </row>
    <row r="3">
      <c r="A3" s="47" t="s">
        <v>63</v>
      </c>
      <c r="B3" s="50">
        <v>1.0</v>
      </c>
      <c r="C3" s="50">
        <v>0.0</v>
      </c>
      <c r="D3" s="50">
        <v>0.0</v>
      </c>
      <c r="E3" s="50">
        <v>0.0</v>
      </c>
      <c r="F3" s="50">
        <v>0.0</v>
      </c>
      <c r="G3" s="50">
        <v>0.0</v>
      </c>
      <c r="H3" s="50">
        <v>0.0</v>
      </c>
      <c r="I3" s="50">
        <v>1.0</v>
      </c>
      <c r="J3" s="50">
        <v>1.0</v>
      </c>
      <c r="K3" s="50">
        <v>1.0</v>
      </c>
    </row>
    <row r="4">
      <c r="A4" s="47" t="s">
        <v>64</v>
      </c>
      <c r="B4" s="50">
        <v>0.0</v>
      </c>
      <c r="C4" s="50">
        <v>0.0</v>
      </c>
      <c r="D4" s="50">
        <v>1.0</v>
      </c>
      <c r="E4" s="50">
        <v>0.0</v>
      </c>
      <c r="F4" s="50">
        <v>0.0</v>
      </c>
      <c r="G4" s="50">
        <v>1.0</v>
      </c>
      <c r="H4" s="50">
        <v>0.0</v>
      </c>
      <c r="I4" s="50">
        <v>0.0</v>
      </c>
      <c r="J4" s="50">
        <v>0.0</v>
      </c>
      <c r="K4" s="50">
        <v>0.0</v>
      </c>
    </row>
    <row r="5">
      <c r="A5" s="47" t="s">
        <v>65</v>
      </c>
      <c r="B5" s="50">
        <v>0.0</v>
      </c>
      <c r="C5" s="50">
        <v>1.0</v>
      </c>
      <c r="D5" s="50">
        <v>0.0</v>
      </c>
      <c r="E5" s="50">
        <v>0.0</v>
      </c>
      <c r="F5" s="50">
        <v>0.0</v>
      </c>
      <c r="G5" s="50">
        <v>0.0</v>
      </c>
      <c r="H5" s="50">
        <v>0.0</v>
      </c>
      <c r="I5" s="50">
        <v>0.0</v>
      </c>
      <c r="J5" s="50">
        <v>0.0</v>
      </c>
      <c r="K5" s="50">
        <v>1.0</v>
      </c>
    </row>
    <row r="6">
      <c r="A6" s="47" t="s">
        <v>66</v>
      </c>
      <c r="B6" s="50">
        <v>1.0</v>
      </c>
      <c r="C6" s="50">
        <v>1.0</v>
      </c>
      <c r="D6" s="50">
        <v>1.0</v>
      </c>
      <c r="E6" s="50">
        <v>1.0</v>
      </c>
      <c r="F6" s="50">
        <v>1.0</v>
      </c>
      <c r="G6" s="50">
        <v>1.0</v>
      </c>
      <c r="H6" s="50">
        <v>1.0</v>
      </c>
      <c r="I6" s="50">
        <v>1.0</v>
      </c>
      <c r="J6" s="50">
        <v>1.0</v>
      </c>
      <c r="K6" s="50">
        <v>1.0</v>
      </c>
    </row>
    <row r="7">
      <c r="A7" s="47" t="s">
        <v>67</v>
      </c>
      <c r="B7" s="50">
        <v>0.0</v>
      </c>
      <c r="C7" s="50">
        <v>0.0</v>
      </c>
      <c r="D7" s="50">
        <v>0.0</v>
      </c>
      <c r="E7" s="50">
        <v>0.0</v>
      </c>
      <c r="F7" s="50">
        <v>0.0</v>
      </c>
      <c r="G7" s="50">
        <v>1.0</v>
      </c>
      <c r="H7" s="50">
        <v>0.0</v>
      </c>
      <c r="I7" s="50">
        <v>0.0</v>
      </c>
      <c r="J7" s="50">
        <v>1.0</v>
      </c>
      <c r="K7" s="50">
        <v>0.0</v>
      </c>
    </row>
    <row r="8">
      <c r="A8" s="47" t="s">
        <v>68</v>
      </c>
      <c r="B8" s="50">
        <v>1.0</v>
      </c>
      <c r="C8" s="50">
        <v>1.0</v>
      </c>
      <c r="D8" s="50">
        <v>0.0</v>
      </c>
      <c r="E8" s="50">
        <v>1.0</v>
      </c>
      <c r="F8" s="50">
        <v>0.0</v>
      </c>
      <c r="G8" s="50">
        <v>1.0</v>
      </c>
      <c r="H8" s="50">
        <v>1.0</v>
      </c>
      <c r="I8" s="50">
        <v>0.0</v>
      </c>
      <c r="J8" s="50">
        <v>1.0</v>
      </c>
      <c r="K8" s="50">
        <v>0.0</v>
      </c>
    </row>
    <row r="9">
      <c r="A9" s="47" t="s">
        <v>69</v>
      </c>
      <c r="B9" s="50">
        <v>1.0</v>
      </c>
      <c r="C9" s="50">
        <v>1.0</v>
      </c>
      <c r="D9" s="50">
        <v>0.0</v>
      </c>
      <c r="E9" s="50">
        <v>0.0</v>
      </c>
      <c r="F9" s="50">
        <v>0.0</v>
      </c>
      <c r="G9" s="50">
        <v>1.0</v>
      </c>
      <c r="H9" s="50">
        <v>0.0</v>
      </c>
      <c r="I9" s="50">
        <v>0.0</v>
      </c>
      <c r="J9" s="50">
        <v>0.0</v>
      </c>
      <c r="K9" s="50">
        <v>0.0</v>
      </c>
    </row>
    <row r="10">
      <c r="A10" s="47" t="s">
        <v>70</v>
      </c>
      <c r="B10" s="50">
        <v>0.0</v>
      </c>
      <c r="C10" s="50">
        <v>1.0</v>
      </c>
      <c r="D10" s="50">
        <v>1.0</v>
      </c>
      <c r="E10" s="50">
        <v>1.0</v>
      </c>
      <c r="F10" s="50">
        <v>1.0</v>
      </c>
      <c r="G10" s="50">
        <v>1.0</v>
      </c>
      <c r="H10" s="50">
        <v>0.0</v>
      </c>
      <c r="I10" s="50">
        <v>0.0</v>
      </c>
      <c r="J10" s="50">
        <v>1.0</v>
      </c>
      <c r="K10" s="50">
        <v>1.0</v>
      </c>
    </row>
    <row r="11">
      <c r="A11" s="47" t="s">
        <v>71</v>
      </c>
      <c r="B11" s="50">
        <v>0.0</v>
      </c>
      <c r="C11" s="50">
        <v>0.0</v>
      </c>
      <c r="D11" s="50">
        <v>0.0</v>
      </c>
      <c r="E11" s="50">
        <v>0.0</v>
      </c>
      <c r="F11" s="50">
        <v>1.0</v>
      </c>
      <c r="G11" s="50">
        <v>1.0</v>
      </c>
      <c r="H11" s="50">
        <v>0.0</v>
      </c>
      <c r="I11" s="50">
        <v>0.0</v>
      </c>
      <c r="J11" s="50">
        <v>1.0</v>
      </c>
      <c r="K11" s="50">
        <v>0.0</v>
      </c>
    </row>
    <row r="12">
      <c r="A12" s="47" t="s">
        <v>72</v>
      </c>
      <c r="B12" s="50">
        <v>0.0</v>
      </c>
      <c r="C12" s="50">
        <v>0.0</v>
      </c>
      <c r="D12" s="50">
        <v>0.0</v>
      </c>
      <c r="E12" s="50">
        <v>0.0</v>
      </c>
      <c r="F12" s="50">
        <v>0.0</v>
      </c>
      <c r="G12" s="50">
        <v>1.0</v>
      </c>
      <c r="H12" s="50">
        <v>0.0</v>
      </c>
      <c r="I12" s="50">
        <v>0.0</v>
      </c>
      <c r="J12" s="50">
        <v>0.0</v>
      </c>
      <c r="K12" s="50">
        <v>1.0</v>
      </c>
    </row>
    <row r="13">
      <c r="A13" s="47" t="s">
        <v>73</v>
      </c>
      <c r="B13" s="50">
        <v>1.0</v>
      </c>
      <c r="C13" s="50">
        <v>0.0</v>
      </c>
      <c r="D13" s="50">
        <v>0.0</v>
      </c>
      <c r="E13" s="50">
        <v>0.0</v>
      </c>
      <c r="F13" s="50">
        <v>0.0</v>
      </c>
      <c r="G13" s="50">
        <v>0.0</v>
      </c>
      <c r="H13" s="50">
        <v>0.0</v>
      </c>
      <c r="I13" s="50">
        <v>0.0</v>
      </c>
      <c r="J13" s="50">
        <v>0.0</v>
      </c>
      <c r="K13" s="50">
        <v>0.0</v>
      </c>
    </row>
    <row r="14">
      <c r="A14" s="47" t="s">
        <v>74</v>
      </c>
      <c r="B14" s="50">
        <v>0.0</v>
      </c>
      <c r="C14" s="50">
        <v>0.0</v>
      </c>
      <c r="D14" s="50">
        <v>0.0</v>
      </c>
      <c r="E14" s="50">
        <v>0.0</v>
      </c>
      <c r="F14" s="50">
        <v>0.0</v>
      </c>
      <c r="G14" s="50">
        <v>1.0</v>
      </c>
      <c r="H14" s="50">
        <v>0.0</v>
      </c>
      <c r="I14" s="50">
        <v>0.0</v>
      </c>
      <c r="J14" s="50">
        <v>0.0</v>
      </c>
      <c r="K14" s="50">
        <v>1.0</v>
      </c>
    </row>
    <row r="15">
      <c r="A15" s="47" t="s">
        <v>75</v>
      </c>
      <c r="B15" s="50">
        <v>0.0</v>
      </c>
      <c r="C15" s="50">
        <v>0.0</v>
      </c>
      <c r="D15" s="50">
        <v>0.0</v>
      </c>
      <c r="E15" s="50">
        <v>0.0</v>
      </c>
      <c r="F15" s="50">
        <v>1.0</v>
      </c>
      <c r="G15" s="50">
        <v>0.0</v>
      </c>
      <c r="H15" s="50">
        <v>0.0</v>
      </c>
      <c r="I15" s="50">
        <v>0.0</v>
      </c>
      <c r="J15" s="50">
        <v>1.0</v>
      </c>
      <c r="K15" s="50">
        <v>0.0</v>
      </c>
    </row>
    <row r="16">
      <c r="A16" s="47" t="s">
        <v>76</v>
      </c>
      <c r="B16" s="50">
        <v>0.0</v>
      </c>
      <c r="C16" s="50">
        <v>1.0</v>
      </c>
      <c r="D16" s="50">
        <v>1.0</v>
      </c>
      <c r="E16" s="50">
        <v>0.0</v>
      </c>
      <c r="F16" s="50">
        <v>0.0</v>
      </c>
      <c r="G16" s="50">
        <v>0.0</v>
      </c>
      <c r="H16" s="50">
        <v>0.0</v>
      </c>
      <c r="I16" s="50">
        <v>1.0</v>
      </c>
      <c r="J16" s="50">
        <v>0.0</v>
      </c>
      <c r="K16" s="50">
        <v>0.0</v>
      </c>
    </row>
    <row r="17">
      <c r="A17" s="47" t="s">
        <v>77</v>
      </c>
      <c r="B17" s="50">
        <v>0.0</v>
      </c>
      <c r="C17" s="50">
        <v>0.0</v>
      </c>
      <c r="D17" s="50">
        <v>1.0</v>
      </c>
      <c r="E17" s="50">
        <v>0.0</v>
      </c>
      <c r="F17" s="50">
        <v>0.0</v>
      </c>
      <c r="G17" s="50">
        <v>0.0</v>
      </c>
      <c r="H17" s="50">
        <v>0.0</v>
      </c>
      <c r="I17" s="50">
        <v>0.0</v>
      </c>
      <c r="J17" s="50">
        <v>0.0</v>
      </c>
      <c r="K17" s="50">
        <v>1.0</v>
      </c>
    </row>
    <row r="18">
      <c r="A18" s="47" t="s">
        <v>78</v>
      </c>
      <c r="B18" s="50">
        <v>0.0</v>
      </c>
      <c r="C18" s="50">
        <v>0.0</v>
      </c>
      <c r="D18" s="50">
        <v>1.0</v>
      </c>
      <c r="E18" s="50">
        <v>0.0</v>
      </c>
      <c r="F18" s="50">
        <v>0.0</v>
      </c>
      <c r="G18" s="50">
        <v>1.0</v>
      </c>
      <c r="H18" s="50">
        <v>0.0</v>
      </c>
      <c r="I18" s="50">
        <v>0.0</v>
      </c>
      <c r="J18" s="50">
        <v>0.0</v>
      </c>
      <c r="K18" s="50">
        <v>0.0</v>
      </c>
    </row>
    <row r="19">
      <c r="A19" s="47" t="s">
        <v>79</v>
      </c>
      <c r="B19" s="50">
        <v>1.0</v>
      </c>
      <c r="C19" s="50">
        <v>1.0</v>
      </c>
      <c r="D19" s="50">
        <v>0.0</v>
      </c>
      <c r="E19" s="50">
        <v>1.0</v>
      </c>
      <c r="F19" s="50">
        <v>0.0</v>
      </c>
      <c r="G19" s="50">
        <v>0.0</v>
      </c>
      <c r="H19" s="50">
        <v>0.0</v>
      </c>
      <c r="I19" s="50">
        <v>0.0</v>
      </c>
      <c r="J19" s="50">
        <v>0.0</v>
      </c>
      <c r="K19" s="50">
        <v>1.0</v>
      </c>
    </row>
    <row r="20">
      <c r="A20" s="47" t="s">
        <v>80</v>
      </c>
      <c r="B20" s="50">
        <v>1.0</v>
      </c>
      <c r="C20" s="50">
        <v>1.0</v>
      </c>
      <c r="D20" s="50">
        <v>0.0</v>
      </c>
      <c r="E20" s="50">
        <v>1.0</v>
      </c>
      <c r="F20" s="50">
        <v>1.0</v>
      </c>
      <c r="G20" s="50">
        <v>0.0</v>
      </c>
      <c r="H20" s="50">
        <v>1.0</v>
      </c>
      <c r="I20" s="50">
        <v>1.0</v>
      </c>
      <c r="J20" s="50">
        <v>0.0</v>
      </c>
      <c r="K20" s="50">
        <v>0.0</v>
      </c>
    </row>
    <row r="21">
      <c r="A21" s="47" t="s">
        <v>81</v>
      </c>
      <c r="B21" s="50">
        <v>1.0</v>
      </c>
      <c r="C21" s="50">
        <v>1.0</v>
      </c>
      <c r="D21" s="50">
        <v>0.0</v>
      </c>
      <c r="E21" s="50">
        <v>1.0</v>
      </c>
      <c r="F21" s="50">
        <v>0.0</v>
      </c>
      <c r="G21" s="50">
        <v>0.0</v>
      </c>
      <c r="H21" s="50">
        <v>0.0</v>
      </c>
      <c r="I21" s="50">
        <v>0.0</v>
      </c>
      <c r="J21" s="50">
        <v>1.0</v>
      </c>
      <c r="K21" s="50">
        <v>1.0</v>
      </c>
    </row>
    <row r="22">
      <c r="A22" s="47" t="s">
        <v>82</v>
      </c>
      <c r="B22" s="50">
        <v>0.0</v>
      </c>
      <c r="C22" s="50">
        <v>0.0</v>
      </c>
      <c r="D22" s="50">
        <v>0.0</v>
      </c>
      <c r="E22" s="50">
        <v>0.0</v>
      </c>
      <c r="F22" s="50">
        <v>0.0</v>
      </c>
      <c r="G22" s="50">
        <v>0.0</v>
      </c>
      <c r="H22" s="50">
        <v>1.0</v>
      </c>
      <c r="I22" s="50">
        <v>0.0</v>
      </c>
      <c r="J22" s="50">
        <v>0.0</v>
      </c>
      <c r="K22" s="50">
        <v>1.0</v>
      </c>
    </row>
    <row r="23">
      <c r="A23" s="47" t="s">
        <v>83</v>
      </c>
      <c r="B23" s="50">
        <v>1.0</v>
      </c>
      <c r="C23" s="50">
        <v>0.0</v>
      </c>
      <c r="D23" s="50">
        <v>0.0</v>
      </c>
      <c r="E23" s="50">
        <v>0.0</v>
      </c>
      <c r="F23" s="50">
        <v>0.0</v>
      </c>
      <c r="G23" s="50">
        <v>0.0</v>
      </c>
      <c r="H23" s="50">
        <v>0.0</v>
      </c>
      <c r="I23" s="50">
        <v>0.0</v>
      </c>
      <c r="J23" s="50">
        <v>0.0</v>
      </c>
      <c r="K23" s="50">
        <v>0.0</v>
      </c>
    </row>
    <row r="24">
      <c r="A24" s="47" t="s">
        <v>84</v>
      </c>
      <c r="B24" s="50">
        <v>1.0</v>
      </c>
      <c r="C24" s="50">
        <v>0.0</v>
      </c>
      <c r="D24" s="50">
        <v>0.0</v>
      </c>
      <c r="E24" s="50">
        <v>0.0</v>
      </c>
      <c r="F24" s="50">
        <v>0.0</v>
      </c>
      <c r="G24" s="50">
        <v>0.0</v>
      </c>
      <c r="H24" s="50">
        <v>0.0</v>
      </c>
      <c r="I24" s="50">
        <v>0.0</v>
      </c>
      <c r="J24" s="50">
        <v>0.0</v>
      </c>
      <c r="K24" s="50">
        <v>1.0</v>
      </c>
    </row>
    <row r="25">
      <c r="A25" s="47" t="s">
        <v>85</v>
      </c>
      <c r="B25" s="50">
        <v>0.0</v>
      </c>
      <c r="C25" s="50">
        <v>0.0</v>
      </c>
      <c r="D25" s="50">
        <v>0.0</v>
      </c>
      <c r="E25" s="50">
        <v>0.0</v>
      </c>
      <c r="F25" s="50">
        <v>1.0</v>
      </c>
      <c r="G25" s="50">
        <v>1.0</v>
      </c>
      <c r="H25" s="50">
        <v>0.0</v>
      </c>
      <c r="I25" s="50">
        <v>0.0</v>
      </c>
      <c r="J25" s="50">
        <v>1.0</v>
      </c>
      <c r="K25" s="50">
        <v>1.0</v>
      </c>
    </row>
    <row r="26">
      <c r="A26" s="47" t="s">
        <v>86</v>
      </c>
      <c r="B26" s="50">
        <v>1.0</v>
      </c>
      <c r="C26" s="50">
        <v>0.0</v>
      </c>
      <c r="D26" s="50">
        <v>0.0</v>
      </c>
      <c r="E26" s="50">
        <v>0.0</v>
      </c>
      <c r="F26" s="50">
        <v>0.0</v>
      </c>
      <c r="G26" s="50">
        <v>0.0</v>
      </c>
      <c r="H26" s="50">
        <v>0.0</v>
      </c>
      <c r="I26" s="50">
        <v>0.0</v>
      </c>
      <c r="J26" s="50">
        <v>0.0</v>
      </c>
      <c r="K26" s="50">
        <v>0.0</v>
      </c>
    </row>
    <row r="27">
      <c r="A27" s="47" t="s">
        <v>87</v>
      </c>
      <c r="B27" s="50">
        <v>1.0</v>
      </c>
      <c r="C27" s="50">
        <v>0.0</v>
      </c>
      <c r="D27" s="50">
        <v>0.0</v>
      </c>
      <c r="E27" s="50">
        <v>0.0</v>
      </c>
      <c r="F27" s="50">
        <v>0.0</v>
      </c>
      <c r="G27" s="50">
        <v>0.0</v>
      </c>
      <c r="H27" s="50">
        <v>0.0</v>
      </c>
      <c r="I27" s="50">
        <v>0.0</v>
      </c>
      <c r="J27" s="50">
        <v>0.0</v>
      </c>
      <c r="K27" s="50">
        <v>0.0</v>
      </c>
    </row>
    <row r="28">
      <c r="A28" s="47" t="s">
        <v>88</v>
      </c>
      <c r="B28" s="50">
        <v>1.0</v>
      </c>
      <c r="C28" s="50">
        <v>0.0</v>
      </c>
      <c r="D28" s="50">
        <v>0.0</v>
      </c>
      <c r="E28" s="50">
        <v>1.0</v>
      </c>
      <c r="F28" s="50">
        <v>1.0</v>
      </c>
      <c r="G28" s="50">
        <v>1.0</v>
      </c>
      <c r="H28" s="50">
        <v>1.0</v>
      </c>
      <c r="I28" s="50">
        <v>1.0</v>
      </c>
      <c r="J28" s="50">
        <v>1.0</v>
      </c>
      <c r="K28" s="50">
        <v>1.0</v>
      </c>
    </row>
    <row r="29">
      <c r="A29" s="47" t="s">
        <v>89</v>
      </c>
      <c r="B29" s="50">
        <v>1.0</v>
      </c>
      <c r="C29" s="50">
        <v>0.0</v>
      </c>
      <c r="D29" s="50">
        <v>1.0</v>
      </c>
      <c r="E29" s="50">
        <v>0.0</v>
      </c>
      <c r="F29" s="50">
        <v>0.0</v>
      </c>
      <c r="G29" s="50">
        <v>1.0</v>
      </c>
      <c r="H29" s="50">
        <v>1.0</v>
      </c>
      <c r="I29" s="50">
        <v>0.0</v>
      </c>
      <c r="J29" s="50">
        <v>0.0</v>
      </c>
      <c r="K29" s="50">
        <v>0.0</v>
      </c>
    </row>
    <row r="30">
      <c r="A30" s="47" t="s">
        <v>90</v>
      </c>
      <c r="B30" s="50">
        <v>0.0</v>
      </c>
      <c r="C30" s="50">
        <v>1.0</v>
      </c>
      <c r="D30" s="50">
        <v>1.0</v>
      </c>
      <c r="E30" s="50">
        <v>0.0</v>
      </c>
      <c r="F30" s="50">
        <v>0.0</v>
      </c>
      <c r="G30" s="50">
        <v>1.0</v>
      </c>
      <c r="H30" s="50">
        <v>0.0</v>
      </c>
      <c r="I30" s="50">
        <v>0.0</v>
      </c>
      <c r="J30" s="50">
        <v>1.0</v>
      </c>
      <c r="K30" s="50">
        <v>1.0</v>
      </c>
    </row>
    <row r="31">
      <c r="A31" s="47" t="s">
        <v>91</v>
      </c>
      <c r="B31" s="50">
        <v>1.0</v>
      </c>
      <c r="C31" s="50">
        <v>0.0</v>
      </c>
      <c r="D31" s="50">
        <v>0.0</v>
      </c>
      <c r="E31" s="50">
        <v>0.0</v>
      </c>
      <c r="F31" s="50">
        <v>1.0</v>
      </c>
      <c r="G31" s="50">
        <v>1.0</v>
      </c>
      <c r="H31" s="50">
        <v>0.0</v>
      </c>
      <c r="I31" s="50">
        <v>0.0</v>
      </c>
      <c r="J31" s="50">
        <v>0.0</v>
      </c>
      <c r="K31" s="50">
        <v>0.0</v>
      </c>
    </row>
    <row r="32">
      <c r="A32" s="47" t="s">
        <v>92</v>
      </c>
      <c r="B32" s="50">
        <v>1.0</v>
      </c>
      <c r="C32" s="50">
        <v>1.0</v>
      </c>
      <c r="D32" s="50">
        <v>1.0</v>
      </c>
      <c r="E32" s="50">
        <v>1.0</v>
      </c>
      <c r="F32" s="50">
        <v>1.0</v>
      </c>
      <c r="G32" s="50">
        <v>1.0</v>
      </c>
      <c r="H32" s="50">
        <v>1.0</v>
      </c>
      <c r="I32" s="50">
        <v>1.0</v>
      </c>
      <c r="J32" s="50">
        <v>1.0</v>
      </c>
      <c r="K32" s="50">
        <v>1.0</v>
      </c>
    </row>
    <row r="33">
      <c r="A33" s="47" t="s">
        <v>93</v>
      </c>
      <c r="B33" s="50">
        <v>0.0</v>
      </c>
      <c r="C33" s="50">
        <v>1.0</v>
      </c>
      <c r="D33" s="50">
        <v>1.0</v>
      </c>
      <c r="E33" s="50">
        <v>0.0</v>
      </c>
      <c r="F33" s="50">
        <v>0.0</v>
      </c>
      <c r="G33" s="50">
        <v>0.0</v>
      </c>
      <c r="H33" s="50">
        <v>0.0</v>
      </c>
      <c r="I33" s="50">
        <v>0.0</v>
      </c>
      <c r="J33" s="50">
        <v>0.0</v>
      </c>
      <c r="K33" s="50">
        <v>0.0</v>
      </c>
    </row>
    <row r="34">
      <c r="A34" s="47" t="s">
        <v>94</v>
      </c>
      <c r="B34" s="50">
        <v>0.0</v>
      </c>
      <c r="C34" s="50">
        <v>1.0</v>
      </c>
      <c r="D34" s="50">
        <v>0.0</v>
      </c>
      <c r="E34" s="50">
        <v>0.0</v>
      </c>
      <c r="F34" s="50">
        <v>1.0</v>
      </c>
      <c r="G34" s="50">
        <v>0.0</v>
      </c>
      <c r="H34" s="50">
        <v>0.0</v>
      </c>
      <c r="I34" s="50">
        <v>0.0</v>
      </c>
      <c r="J34" s="50">
        <v>1.0</v>
      </c>
      <c r="K34" s="50">
        <v>0.0</v>
      </c>
    </row>
    <row r="35">
      <c r="A35" s="47" t="s">
        <v>95</v>
      </c>
      <c r="B35" s="50">
        <v>0.0</v>
      </c>
      <c r="C35" s="50">
        <v>1.0</v>
      </c>
      <c r="D35" s="50">
        <v>0.0</v>
      </c>
      <c r="E35" s="50">
        <v>0.0</v>
      </c>
      <c r="F35" s="50">
        <v>1.0</v>
      </c>
      <c r="G35" s="50">
        <v>0.0</v>
      </c>
      <c r="H35" s="50">
        <v>0.0</v>
      </c>
      <c r="I35" s="50">
        <v>0.0</v>
      </c>
      <c r="J35" s="50">
        <v>1.0</v>
      </c>
      <c r="K35" s="50">
        <v>0.0</v>
      </c>
    </row>
    <row r="36">
      <c r="A36" s="47" t="s">
        <v>96</v>
      </c>
      <c r="B36" s="50">
        <v>0.0</v>
      </c>
      <c r="C36" s="50">
        <v>1.0</v>
      </c>
      <c r="D36" s="50">
        <v>0.0</v>
      </c>
      <c r="E36" s="50">
        <v>0.0</v>
      </c>
      <c r="F36" s="50">
        <v>0.0</v>
      </c>
      <c r="G36" s="50">
        <v>0.0</v>
      </c>
      <c r="H36" s="50">
        <v>0.0</v>
      </c>
      <c r="I36" s="50">
        <v>0.0</v>
      </c>
      <c r="J36" s="50">
        <v>0.0</v>
      </c>
      <c r="K36" s="50">
        <v>0.0</v>
      </c>
    </row>
    <row r="37">
      <c r="A37" s="47" t="s">
        <v>97</v>
      </c>
      <c r="B37" s="50">
        <v>1.0</v>
      </c>
      <c r="C37" s="50">
        <v>0.0</v>
      </c>
      <c r="D37" s="50">
        <v>0.0</v>
      </c>
      <c r="E37" s="50">
        <v>0.0</v>
      </c>
      <c r="F37" s="50">
        <v>0.0</v>
      </c>
      <c r="G37" s="50">
        <v>0.0</v>
      </c>
      <c r="H37" s="50">
        <v>0.0</v>
      </c>
      <c r="I37" s="50">
        <v>0.0</v>
      </c>
      <c r="J37" s="50">
        <v>0.0</v>
      </c>
      <c r="K37" s="50">
        <v>0.0</v>
      </c>
    </row>
    <row r="38">
      <c r="A38" s="47" t="s">
        <v>98</v>
      </c>
      <c r="B38" s="50">
        <v>1.0</v>
      </c>
      <c r="C38" s="50">
        <v>0.0</v>
      </c>
      <c r="D38" s="50">
        <v>0.0</v>
      </c>
      <c r="E38" s="50">
        <v>0.0</v>
      </c>
      <c r="F38" s="50">
        <v>1.0</v>
      </c>
      <c r="G38" s="50">
        <v>1.0</v>
      </c>
      <c r="H38" s="50">
        <v>1.0</v>
      </c>
      <c r="I38" s="50">
        <v>1.0</v>
      </c>
      <c r="J38" s="50">
        <v>0.0</v>
      </c>
      <c r="K38" s="50">
        <v>1.0</v>
      </c>
    </row>
    <row r="39">
      <c r="A39" s="47" t="s">
        <v>99</v>
      </c>
      <c r="B39" s="50">
        <v>1.0</v>
      </c>
      <c r="C39" s="50">
        <v>0.0</v>
      </c>
      <c r="D39" s="50">
        <v>0.0</v>
      </c>
      <c r="E39" s="50">
        <v>0.0</v>
      </c>
      <c r="F39" s="50">
        <v>0.0</v>
      </c>
      <c r="G39" s="50">
        <v>0.0</v>
      </c>
      <c r="H39" s="50">
        <v>0.0</v>
      </c>
      <c r="I39" s="50">
        <v>0.0</v>
      </c>
      <c r="J39" s="50">
        <v>0.0</v>
      </c>
      <c r="K39" s="50">
        <v>0.0</v>
      </c>
    </row>
    <row r="40">
      <c r="A40" s="47" t="s">
        <v>100</v>
      </c>
      <c r="B40" s="50">
        <v>1.0</v>
      </c>
      <c r="C40" s="50">
        <v>1.0</v>
      </c>
      <c r="D40" s="50">
        <v>1.0</v>
      </c>
      <c r="E40" s="50">
        <v>1.0</v>
      </c>
      <c r="F40" s="50">
        <v>1.0</v>
      </c>
      <c r="G40" s="50">
        <v>1.0</v>
      </c>
      <c r="H40" s="50">
        <v>0.0</v>
      </c>
      <c r="I40" s="50">
        <v>0.0</v>
      </c>
      <c r="J40" s="50">
        <v>1.0</v>
      </c>
      <c r="K40" s="50">
        <v>1.0</v>
      </c>
    </row>
    <row r="41">
      <c r="A41" s="47" t="s">
        <v>101</v>
      </c>
      <c r="B41" s="50">
        <v>0.0</v>
      </c>
      <c r="C41" s="50">
        <v>1.0</v>
      </c>
      <c r="D41" s="50">
        <v>0.0</v>
      </c>
      <c r="E41" s="50">
        <v>0.0</v>
      </c>
      <c r="F41" s="50">
        <v>0.0</v>
      </c>
      <c r="G41" s="50">
        <v>0.0</v>
      </c>
      <c r="H41" s="50">
        <v>0.0</v>
      </c>
      <c r="I41" s="50">
        <v>0.0</v>
      </c>
      <c r="J41" s="50">
        <v>0.0</v>
      </c>
      <c r="K41" s="50">
        <v>1.0</v>
      </c>
    </row>
    <row r="42">
      <c r="A42" s="47" t="s">
        <v>102</v>
      </c>
      <c r="B42" s="50">
        <v>1.0</v>
      </c>
      <c r="C42" s="50">
        <v>0.0</v>
      </c>
      <c r="D42" s="50">
        <v>0.0</v>
      </c>
      <c r="E42" s="50">
        <v>0.0</v>
      </c>
      <c r="F42" s="50">
        <v>0.0</v>
      </c>
      <c r="G42" s="50">
        <v>1.0</v>
      </c>
      <c r="H42" s="50">
        <v>1.0</v>
      </c>
      <c r="I42" s="50">
        <v>0.0</v>
      </c>
      <c r="J42" s="50">
        <v>0.0</v>
      </c>
      <c r="K42" s="50">
        <v>0.0</v>
      </c>
    </row>
    <row r="43">
      <c r="A43" s="47" t="s">
        <v>103</v>
      </c>
      <c r="B43" s="50">
        <v>0.0</v>
      </c>
      <c r="C43" s="50">
        <v>1.0</v>
      </c>
      <c r="D43" s="50">
        <v>1.0</v>
      </c>
      <c r="E43" s="50">
        <v>0.0</v>
      </c>
      <c r="F43" s="50">
        <v>1.0</v>
      </c>
      <c r="G43" s="50">
        <v>1.0</v>
      </c>
      <c r="H43" s="50">
        <v>0.0</v>
      </c>
      <c r="I43" s="50">
        <v>1.0</v>
      </c>
      <c r="J43" s="50">
        <v>1.0</v>
      </c>
      <c r="K43" s="50">
        <v>1.0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.75"/>
    <col customWidth="1" min="2" max="2" width="3.38"/>
    <col customWidth="1" min="3" max="6" width="3.5"/>
    <col customWidth="1" min="7" max="7" width="3.63"/>
    <col customWidth="1" min="8" max="8" width="3.5"/>
    <col customWidth="1" min="9" max="9" width="3.63"/>
    <col customWidth="1" min="10" max="10" width="3.5"/>
    <col customWidth="1" min="11" max="11" width="4.63"/>
    <col customWidth="1" min="12" max="12" width="4.38"/>
    <col customWidth="1" min="13" max="16" width="4.5"/>
    <col customWidth="1" min="17" max="17" width="4.63"/>
    <col customWidth="1" min="18" max="18" width="4.5"/>
    <col customWidth="1" min="19" max="19" width="4.63"/>
    <col customWidth="1" min="20" max="20" width="4.5"/>
    <col customWidth="1" min="21" max="21" width="4.75"/>
    <col customWidth="1" min="22" max="22" width="4.5"/>
    <col customWidth="1" min="23" max="50" width="4.63"/>
    <col customWidth="1" min="51" max="51" width="4.75"/>
  </cols>
  <sheetData>
    <row r="1">
      <c r="A1" s="51"/>
      <c r="B1" s="52" t="s">
        <v>62</v>
      </c>
      <c r="C1" s="52" t="s">
        <v>63</v>
      </c>
      <c r="D1" s="52" t="s">
        <v>64</v>
      </c>
      <c r="E1" s="52" t="s">
        <v>65</v>
      </c>
      <c r="F1" s="52" t="s">
        <v>66</v>
      </c>
      <c r="G1" s="52" t="s">
        <v>67</v>
      </c>
      <c r="H1" s="52" t="s">
        <v>68</v>
      </c>
      <c r="I1" s="52" t="s">
        <v>69</v>
      </c>
      <c r="J1" s="52" t="s">
        <v>70</v>
      </c>
      <c r="K1" s="52" t="s">
        <v>71</v>
      </c>
      <c r="L1" s="52" t="s">
        <v>72</v>
      </c>
      <c r="M1" s="52" t="s">
        <v>73</v>
      </c>
      <c r="N1" s="52" t="s">
        <v>74</v>
      </c>
      <c r="O1" s="52" t="s">
        <v>75</v>
      </c>
      <c r="P1" s="52" t="s">
        <v>76</v>
      </c>
      <c r="Q1" s="52" t="s">
        <v>77</v>
      </c>
      <c r="R1" s="52" t="s">
        <v>78</v>
      </c>
      <c r="S1" s="52" t="s">
        <v>79</v>
      </c>
      <c r="T1" s="52" t="s">
        <v>80</v>
      </c>
      <c r="U1" s="52" t="s">
        <v>81</v>
      </c>
      <c r="V1" s="52" t="s">
        <v>82</v>
      </c>
      <c r="W1" s="52" t="s">
        <v>83</v>
      </c>
      <c r="X1" s="52" t="s">
        <v>84</v>
      </c>
      <c r="Y1" s="52" t="s">
        <v>85</v>
      </c>
      <c r="Z1" s="52" t="s">
        <v>86</v>
      </c>
      <c r="AA1" s="52" t="s">
        <v>87</v>
      </c>
      <c r="AB1" s="52" t="s">
        <v>88</v>
      </c>
      <c r="AC1" s="52" t="s">
        <v>89</v>
      </c>
      <c r="AD1" s="52" t="s">
        <v>90</v>
      </c>
      <c r="AE1" s="52" t="s">
        <v>91</v>
      </c>
      <c r="AF1" s="52" t="s">
        <v>92</v>
      </c>
      <c r="AG1" s="52" t="s">
        <v>93</v>
      </c>
      <c r="AH1" s="52" t="s">
        <v>94</v>
      </c>
      <c r="AI1" s="52" t="s">
        <v>95</v>
      </c>
      <c r="AJ1" s="52" t="s">
        <v>96</v>
      </c>
      <c r="AK1" s="52" t="s">
        <v>97</v>
      </c>
      <c r="AL1" s="52" t="s">
        <v>98</v>
      </c>
      <c r="AM1" s="52" t="s">
        <v>99</v>
      </c>
      <c r="AN1" s="52" t="s">
        <v>100</v>
      </c>
      <c r="AO1" s="52" t="s">
        <v>101</v>
      </c>
      <c r="AP1" s="52" t="s">
        <v>102</v>
      </c>
      <c r="AQ1" s="52" t="s">
        <v>103</v>
      </c>
      <c r="AR1" s="52"/>
      <c r="AS1" s="52"/>
      <c r="AT1" s="52"/>
      <c r="AU1" s="52"/>
      <c r="AV1" s="52"/>
      <c r="AW1" s="52"/>
      <c r="AX1" s="52"/>
      <c r="AY1" s="52"/>
    </row>
    <row r="2">
      <c r="A2" s="52" t="s">
        <v>62</v>
      </c>
      <c r="B2" s="53">
        <f t="array" ref="B2">SUMPRODUCT(
  'User-Product'!$B2:$J2,
  INDEX('User-Product'!$B$2:$J$43, MATCH(B$1, 'User-Product'!$A$2:$A$43, 0), 0)
)</f>
        <v>3</v>
      </c>
      <c r="C2" s="51">
        <f t="array" ref="C2">SUMPRODUCT(
  'User-Product'!$B2:$J2,
  INDEX('User-Product'!$B$2:$J$43, MATCH(C$1, 'User-Product'!$A$2:$A$43, 0), 0)
)</f>
        <v>1</v>
      </c>
      <c r="D2" s="51">
        <f t="array" ref="D2">SUMPRODUCT(
  'User-Product'!$B2:$J2,
  INDEX('User-Product'!$B$2:$J$43, MATCH(D$1, 'User-Product'!$A$2:$A$43, 0), 0)
)</f>
        <v>1</v>
      </c>
      <c r="E2" s="51">
        <f t="array" ref="E2">SUMPRODUCT(
  'User-Product'!$B2:$J2,
  INDEX('User-Product'!$B$2:$J$43, MATCH(E$1, 'User-Product'!$A$2:$A$43, 0), 0)
)</f>
        <v>0</v>
      </c>
      <c r="F2" s="51">
        <f t="array" ref="F2">SUMPRODUCT(
  'User-Product'!$B2:$J2,
  INDEX('User-Product'!$B$2:$J$43, MATCH(F$1, 'User-Product'!$A$2:$A$43, 0), 0)
)</f>
        <v>3</v>
      </c>
      <c r="G2" s="51">
        <f t="array" ref="G2">SUMPRODUCT(
  'User-Product'!$B2:$J2,
  INDEX('User-Product'!$B$2:$J$43, MATCH(G$1, 'User-Product'!$A$2:$A$43, 0), 0)
)</f>
        <v>1</v>
      </c>
      <c r="H2" s="51">
        <f t="array" ref="H2">SUMPRODUCT(
  'User-Product'!$B2:$J2,
  INDEX('User-Product'!$B$2:$J$43, MATCH(H$1, 'User-Product'!$A$2:$A$43, 0), 0)
)</f>
        <v>2</v>
      </c>
      <c r="I2" s="51">
        <f t="array" ref="I2">SUMPRODUCT(
  'User-Product'!$B2:$J2,
  INDEX('User-Product'!$B$2:$J$43, MATCH(I$1, 'User-Product'!$A$2:$A$43, 0), 0)
)</f>
        <v>2</v>
      </c>
      <c r="J2" s="51">
        <f t="array" ref="J2">SUMPRODUCT(
  'User-Product'!$B2:$J2,
  INDEX('User-Product'!$B$2:$J$43, MATCH(J$1, 'User-Product'!$A$2:$A$43, 0), 0)
)</f>
        <v>2</v>
      </c>
      <c r="K2" s="51">
        <f t="array" ref="K2">SUMPRODUCT(
  'User-Product'!$B2:$J2,
  INDEX('User-Product'!$B$2:$J$43, MATCH(K$1, 'User-Product'!$A$2:$A$43, 0), 0)
)</f>
        <v>2</v>
      </c>
      <c r="L2" s="51">
        <f t="array" ref="L2">SUMPRODUCT(
  'User-Product'!$B2:$J2,
  INDEX('User-Product'!$B$2:$J$43, MATCH(L$1, 'User-Product'!$A$2:$A$43, 0), 0)
)</f>
        <v>1</v>
      </c>
      <c r="M2" s="51">
        <f t="array" ref="M2">SUMPRODUCT(
  'User-Product'!$B2:$J2,
  INDEX('User-Product'!$B$2:$J$43, MATCH(M$1, 'User-Product'!$A$2:$A$43, 0), 0)
)</f>
        <v>1</v>
      </c>
      <c r="N2" s="51">
        <f t="array" ref="N2">SUMPRODUCT(
  'User-Product'!$B2:$J2,
  INDEX('User-Product'!$B$2:$J$43, MATCH(N$1, 'User-Product'!$A$2:$A$43, 0), 0)
)</f>
        <v>1</v>
      </c>
      <c r="O2" s="51">
        <f t="array" ref="O2">SUMPRODUCT(
  'User-Product'!$B2:$J2,
  INDEX('User-Product'!$B$2:$J$43, MATCH(O$1, 'User-Product'!$A$2:$A$43, 0), 0)
)</f>
        <v>1</v>
      </c>
      <c r="P2" s="51">
        <f t="array" ref="P2">SUMPRODUCT(
  'User-Product'!$B2:$J2,
  INDEX('User-Product'!$B$2:$J$43, MATCH(P$1, 'User-Product'!$A$2:$A$43, 0), 0)
)</f>
        <v>0</v>
      </c>
      <c r="Q2" s="51">
        <f t="array" ref="Q2">SUMPRODUCT(
  'User-Product'!$B2:$J2,
  INDEX('User-Product'!$B$2:$J$43, MATCH(Q$1, 'User-Product'!$A$2:$A$43, 0), 0)
)</f>
        <v>0</v>
      </c>
      <c r="R2" s="51">
        <f t="array" ref="R2">SUMPRODUCT(
  'User-Product'!$B2:$J2,
  INDEX('User-Product'!$B$2:$J$43, MATCH(R$1, 'User-Product'!$A$2:$A$43, 0), 0)
)</f>
        <v>1</v>
      </c>
      <c r="S2" s="51">
        <f t="array" ref="S2">SUMPRODUCT(
  'User-Product'!$B2:$J2,
  INDEX('User-Product'!$B$2:$J$43, MATCH(S$1, 'User-Product'!$A$2:$A$43, 0), 0)
)</f>
        <v>1</v>
      </c>
      <c r="T2" s="51">
        <f t="array" ref="T2">SUMPRODUCT(
  'User-Product'!$B2:$J2,
  INDEX('User-Product'!$B$2:$J$43, MATCH(T$1, 'User-Product'!$A$2:$A$43, 0), 0)
)</f>
        <v>2</v>
      </c>
      <c r="U2" s="51">
        <f t="array" ref="U2">SUMPRODUCT(
  'User-Product'!$B2:$J2,
  INDEX('User-Product'!$B$2:$J$43, MATCH(U$1, 'User-Product'!$A$2:$A$43, 0), 0)
)</f>
        <v>1</v>
      </c>
      <c r="V2" s="51">
        <f t="array" ref="V2">SUMPRODUCT(
  'User-Product'!$B2:$J2,
  INDEX('User-Product'!$B$2:$J$43, MATCH(V$1, 'User-Product'!$A$2:$A$43, 0), 0)
)</f>
        <v>0</v>
      </c>
      <c r="W2" s="51">
        <f t="array" ref="W2">SUMPRODUCT(
  'User-Product'!$B2:$J2,
  INDEX('User-Product'!$B$2:$J$43, MATCH(W$1, 'User-Product'!$A$2:$A$43, 0), 0)
)</f>
        <v>1</v>
      </c>
      <c r="X2" s="51">
        <f t="array" ref="X2">SUMPRODUCT(
  'User-Product'!$B2:$J2,
  INDEX('User-Product'!$B$2:$J$43, MATCH(X$1, 'User-Product'!$A$2:$A$43, 0), 0)
)</f>
        <v>1</v>
      </c>
      <c r="Y2" s="51">
        <f t="array" ref="Y2">SUMPRODUCT(
  'User-Product'!$B2:$J2,
  INDEX('User-Product'!$B$2:$J$43, MATCH(Y$1, 'User-Product'!$A$2:$A$43, 0), 0)
)</f>
        <v>2</v>
      </c>
      <c r="Z2" s="51">
        <f t="array" ref="Z2">SUMPRODUCT(
  'User-Product'!$B2:$J2,
  INDEX('User-Product'!$B$2:$J$43, MATCH(Z$1, 'User-Product'!$A$2:$A$43, 0), 0)
)</f>
        <v>1</v>
      </c>
      <c r="AA2" s="51">
        <f t="array" ref="AA2">SUMPRODUCT(
  'User-Product'!$B2:$J2,
  INDEX('User-Product'!$B$2:$J$43, MATCH(AA$1, 'User-Product'!$A$2:$A$43, 0), 0)
)</f>
        <v>1</v>
      </c>
      <c r="AB2" s="51">
        <f t="array" ref="AB2">SUMPRODUCT(
  'User-Product'!$B2:$J2,
  INDEX('User-Product'!$B$2:$J$43, MATCH(AB$1, 'User-Product'!$A$2:$A$43, 0), 0)
)</f>
        <v>3</v>
      </c>
      <c r="AC2" s="51">
        <f t="array" ref="AC2">SUMPRODUCT(
  'User-Product'!$B2:$J2,
  INDEX('User-Product'!$B$2:$J$43, MATCH(AC$1, 'User-Product'!$A$2:$A$43, 0), 0)
)</f>
        <v>2</v>
      </c>
      <c r="AD2" s="51">
        <f t="array" ref="AD2">SUMPRODUCT(
  'User-Product'!$B2:$J2,
  INDEX('User-Product'!$B$2:$J$43, MATCH(AD$1, 'User-Product'!$A$2:$A$43, 0), 0)
)</f>
        <v>1</v>
      </c>
      <c r="AE2" s="51">
        <f t="array" ref="AE2">SUMPRODUCT(
  'User-Product'!$B2:$J2,
  INDEX('User-Product'!$B$2:$J$43, MATCH(AE$1, 'User-Product'!$A$2:$A$43, 0), 0)
)</f>
        <v>3</v>
      </c>
      <c r="AF2" s="51">
        <f t="array" ref="AF2">SUMPRODUCT(
  'User-Product'!$B2:$J2,
  INDEX('User-Product'!$B$2:$J$43, MATCH(AF$1, 'User-Product'!$A$2:$A$43, 0), 0)
)</f>
        <v>3</v>
      </c>
      <c r="AG2" s="51">
        <f t="array" ref="AG2">SUMPRODUCT(
  'User-Product'!$B2:$J2,
  INDEX('User-Product'!$B$2:$J$43, MATCH(AG$1, 'User-Product'!$A$2:$A$43, 0), 0)
)</f>
        <v>0</v>
      </c>
      <c r="AH2" s="51">
        <f t="array" ref="AH2">SUMPRODUCT(
  'User-Product'!$B2:$J2,
  INDEX('User-Product'!$B$2:$J$43, MATCH(AH$1, 'User-Product'!$A$2:$A$43, 0), 0)
)</f>
        <v>1</v>
      </c>
      <c r="AI2" s="51">
        <f t="array" ref="AI2">SUMPRODUCT(
  'User-Product'!$B2:$J2,
  INDEX('User-Product'!$B$2:$J$43, MATCH(AI$1, 'User-Product'!$A$2:$A$43, 0), 0)
)</f>
        <v>1</v>
      </c>
      <c r="AJ2" s="51">
        <f t="array" ref="AJ2">SUMPRODUCT(
  'User-Product'!$B2:$J2,
  INDEX('User-Product'!$B$2:$J$43, MATCH(AJ$1, 'User-Product'!$A$2:$A$43, 0), 0)
)</f>
        <v>0</v>
      </c>
      <c r="AK2" s="51">
        <f t="array" ref="AK2">SUMPRODUCT(
  'User-Product'!$B2:$J2,
  INDEX('User-Product'!$B$2:$J$43, MATCH(AK$1, 'User-Product'!$A$2:$A$43, 0), 0)
)</f>
        <v>1</v>
      </c>
      <c r="AL2" s="51">
        <f t="array" ref="AL2">SUMPRODUCT(
  'User-Product'!$B2:$J2,
  INDEX('User-Product'!$B$2:$J$43, MATCH(AL$1, 'User-Product'!$A$2:$A$43, 0), 0)
)</f>
        <v>3</v>
      </c>
      <c r="AM2" s="51">
        <f t="array" ref="AM2">SUMPRODUCT(
  'User-Product'!$B2:$J2,
  INDEX('User-Product'!$B$2:$J$43, MATCH(AM$1, 'User-Product'!$A$2:$A$43, 0), 0)
)</f>
        <v>1</v>
      </c>
      <c r="AN2" s="51">
        <f t="array" ref="AN2">SUMPRODUCT(
  'User-Product'!$B2:$J2,
  INDEX('User-Product'!$B$2:$J$43, MATCH(AN$1, 'User-Product'!$A$2:$A$43, 0), 0)
)</f>
        <v>3</v>
      </c>
      <c r="AO2" s="51">
        <f t="array" ref="AO2">SUMPRODUCT(
  'User-Product'!$B2:$J2,
  INDEX('User-Product'!$B$2:$J$43, MATCH(AO$1, 'User-Product'!$A$2:$A$43, 0), 0)
)</f>
        <v>0</v>
      </c>
      <c r="AP2" s="51">
        <f t="array" ref="AP2">SUMPRODUCT(
  'User-Product'!$B2:$J2,
  INDEX('User-Product'!$B$2:$J$43, MATCH(AP$1, 'User-Product'!$A$2:$A$43, 0), 0)
)</f>
        <v>2</v>
      </c>
      <c r="AQ2" s="51">
        <f t="array" ref="AQ2">SUMPRODUCT(
  'User-Product'!$B2:$J2,
  INDEX('User-Product'!$B$2:$J$43, MATCH(AQ$1, 'User-Product'!$A$2:$A$43, 0), 0)
)</f>
        <v>2</v>
      </c>
      <c r="AR2" s="51"/>
      <c r="AS2" s="51"/>
      <c r="AT2" s="51"/>
      <c r="AU2" s="51"/>
      <c r="AV2" s="51"/>
      <c r="AW2" s="51"/>
      <c r="AX2" s="51"/>
      <c r="AY2" s="51"/>
    </row>
    <row r="3">
      <c r="A3" s="52" t="s">
        <v>63</v>
      </c>
      <c r="B3" s="51">
        <f t="array" ref="B3">SUMPRODUCT(
  'User-Product'!$B3:$J3,
  INDEX('User-Product'!$B$2:$J$43, MATCH(B$1, 'User-Product'!$A$2:$A$43, 0), 0)
)</f>
        <v>1</v>
      </c>
      <c r="C3" s="53">
        <f t="array" ref="C3">SUMPRODUCT(
  'User-Product'!$B3:$J3,
  INDEX('User-Product'!$B$2:$J$43, MATCH(C$1, 'User-Product'!$A$2:$A$43, 0), 0)
)</f>
        <v>3</v>
      </c>
      <c r="D3" s="51">
        <f t="array" ref="D3">SUMPRODUCT(
  'User-Product'!$B3:$J3,
  INDEX('User-Product'!$B$2:$J$43, MATCH(D$1, 'User-Product'!$A$2:$A$43, 0), 0)
)</f>
        <v>0</v>
      </c>
      <c r="E3" s="51">
        <f t="array" ref="E3">SUMPRODUCT(
  'User-Product'!$B3:$J3,
  INDEX('User-Product'!$B$2:$J$43, MATCH(E$1, 'User-Product'!$A$2:$A$43, 0), 0)
)</f>
        <v>0</v>
      </c>
      <c r="F3" s="51">
        <f t="array" ref="F3">SUMPRODUCT(
  'User-Product'!$B3:$J3,
  INDEX('User-Product'!$B$2:$J$43, MATCH(F$1, 'User-Product'!$A$2:$A$43, 0), 0)
)</f>
        <v>3</v>
      </c>
      <c r="G3" s="51">
        <f t="array" ref="G3">SUMPRODUCT(
  'User-Product'!$B3:$J3,
  INDEX('User-Product'!$B$2:$J$43, MATCH(G$1, 'User-Product'!$A$2:$A$43, 0), 0)
)</f>
        <v>1</v>
      </c>
      <c r="H3" s="51">
        <f t="array" ref="H3">SUMPRODUCT(
  'User-Product'!$B3:$J3,
  INDEX('User-Product'!$B$2:$J$43, MATCH(H$1, 'User-Product'!$A$2:$A$43, 0), 0)
)</f>
        <v>2</v>
      </c>
      <c r="I3" s="51">
        <f t="array" ref="I3">SUMPRODUCT(
  'User-Product'!$B3:$J3,
  INDEX('User-Product'!$B$2:$J$43, MATCH(I$1, 'User-Product'!$A$2:$A$43, 0), 0)
)</f>
        <v>1</v>
      </c>
      <c r="J3" s="51">
        <f t="array" ref="J3">SUMPRODUCT(
  'User-Product'!$B3:$J3,
  INDEX('User-Product'!$B$2:$J$43, MATCH(J$1, 'User-Product'!$A$2:$A$43, 0), 0)
)</f>
        <v>1</v>
      </c>
      <c r="K3" s="51">
        <f t="array" ref="K3">SUMPRODUCT(
  'User-Product'!$B3:$J3,
  INDEX('User-Product'!$B$2:$J$43, MATCH(K$1, 'User-Product'!$A$2:$A$43, 0), 0)
)</f>
        <v>1</v>
      </c>
      <c r="L3" s="51">
        <f t="array" ref="L3">SUMPRODUCT(
  'User-Product'!$B3:$J3,
  INDEX('User-Product'!$B$2:$J$43, MATCH(L$1, 'User-Product'!$A$2:$A$43, 0), 0)
)</f>
        <v>0</v>
      </c>
      <c r="M3" s="51">
        <f t="array" ref="M3">SUMPRODUCT(
  'User-Product'!$B3:$J3,
  INDEX('User-Product'!$B$2:$J$43, MATCH(M$1, 'User-Product'!$A$2:$A$43, 0), 0)
)</f>
        <v>1</v>
      </c>
      <c r="N3" s="51">
        <f t="array" ref="N3">SUMPRODUCT(
  'User-Product'!$B3:$J3,
  INDEX('User-Product'!$B$2:$J$43, MATCH(N$1, 'User-Product'!$A$2:$A$43, 0), 0)
)</f>
        <v>0</v>
      </c>
      <c r="O3" s="51">
        <f t="array" ref="O3">SUMPRODUCT(
  'User-Product'!$B3:$J3,
  INDEX('User-Product'!$B$2:$J$43, MATCH(O$1, 'User-Product'!$A$2:$A$43, 0), 0)
)</f>
        <v>1</v>
      </c>
      <c r="P3" s="51">
        <f t="array" ref="P3">SUMPRODUCT(
  'User-Product'!$B3:$J3,
  INDEX('User-Product'!$B$2:$J$43, MATCH(P$1, 'User-Product'!$A$2:$A$43, 0), 0)
)</f>
        <v>1</v>
      </c>
      <c r="Q3" s="51">
        <f t="array" ref="Q3">SUMPRODUCT(
  'User-Product'!$B3:$J3,
  INDEX('User-Product'!$B$2:$J$43, MATCH(Q$1, 'User-Product'!$A$2:$A$43, 0), 0)
)</f>
        <v>0</v>
      </c>
      <c r="R3" s="51">
        <f t="array" ref="R3">SUMPRODUCT(
  'User-Product'!$B3:$J3,
  INDEX('User-Product'!$B$2:$J$43, MATCH(R$1, 'User-Product'!$A$2:$A$43, 0), 0)
)</f>
        <v>0</v>
      </c>
      <c r="S3" s="51">
        <f t="array" ref="S3">SUMPRODUCT(
  'User-Product'!$B3:$J3,
  INDEX('User-Product'!$B$2:$J$43, MATCH(S$1, 'User-Product'!$A$2:$A$43, 0), 0)
)</f>
        <v>1</v>
      </c>
      <c r="T3" s="51">
        <f t="array" ref="T3">SUMPRODUCT(
  'User-Product'!$B3:$J3,
  INDEX('User-Product'!$B$2:$J$43, MATCH(T$1, 'User-Product'!$A$2:$A$43, 0), 0)
)</f>
        <v>2</v>
      </c>
      <c r="U3" s="51">
        <f t="array" ref="U3">SUMPRODUCT(
  'User-Product'!$B3:$J3,
  INDEX('User-Product'!$B$2:$J$43, MATCH(U$1, 'User-Product'!$A$2:$A$43, 0), 0)
)</f>
        <v>2</v>
      </c>
      <c r="V3" s="51">
        <f t="array" ref="V3">SUMPRODUCT(
  'User-Product'!$B3:$J3,
  INDEX('User-Product'!$B$2:$J$43, MATCH(V$1, 'User-Product'!$A$2:$A$43, 0), 0)
)</f>
        <v>0</v>
      </c>
      <c r="W3" s="51">
        <f t="array" ref="W3">SUMPRODUCT(
  'User-Product'!$B3:$J3,
  INDEX('User-Product'!$B$2:$J$43, MATCH(W$1, 'User-Product'!$A$2:$A$43, 0), 0)
)</f>
        <v>1</v>
      </c>
      <c r="X3" s="51">
        <f t="array" ref="X3">SUMPRODUCT(
  'User-Product'!$B3:$J3,
  INDEX('User-Product'!$B$2:$J$43, MATCH(X$1, 'User-Product'!$A$2:$A$43, 0), 0)
)</f>
        <v>1</v>
      </c>
      <c r="Y3" s="51">
        <f t="array" ref="Y3">SUMPRODUCT(
  'User-Product'!$B3:$J3,
  INDEX('User-Product'!$B$2:$J$43, MATCH(Y$1, 'User-Product'!$A$2:$A$43, 0), 0)
)</f>
        <v>1</v>
      </c>
      <c r="Z3" s="51">
        <f t="array" ref="Z3">SUMPRODUCT(
  'User-Product'!$B3:$J3,
  INDEX('User-Product'!$B$2:$J$43, MATCH(Z$1, 'User-Product'!$A$2:$A$43, 0), 0)
)</f>
        <v>1</v>
      </c>
      <c r="AA3" s="51">
        <f t="array" ref="AA3">SUMPRODUCT(
  'User-Product'!$B3:$J3,
  INDEX('User-Product'!$B$2:$J$43, MATCH(AA$1, 'User-Product'!$A$2:$A$43, 0), 0)
)</f>
        <v>1</v>
      </c>
      <c r="AB3" s="51">
        <f t="array" ref="AB3">SUMPRODUCT(
  'User-Product'!$B3:$J3,
  INDEX('User-Product'!$B$2:$J$43, MATCH(AB$1, 'User-Product'!$A$2:$A$43, 0), 0)
)</f>
        <v>3</v>
      </c>
      <c r="AC3" s="51">
        <f t="array" ref="AC3">SUMPRODUCT(
  'User-Product'!$B3:$J3,
  INDEX('User-Product'!$B$2:$J$43, MATCH(AC$1, 'User-Product'!$A$2:$A$43, 0), 0)
)</f>
        <v>1</v>
      </c>
      <c r="AD3" s="51">
        <f t="array" ref="AD3">SUMPRODUCT(
  'User-Product'!$B3:$J3,
  INDEX('User-Product'!$B$2:$J$43, MATCH(AD$1, 'User-Product'!$A$2:$A$43, 0), 0)
)</f>
        <v>1</v>
      </c>
      <c r="AE3" s="51">
        <f t="array" ref="AE3">SUMPRODUCT(
  'User-Product'!$B3:$J3,
  INDEX('User-Product'!$B$2:$J$43, MATCH(AE$1, 'User-Product'!$A$2:$A$43, 0), 0)
)</f>
        <v>1</v>
      </c>
      <c r="AF3" s="51">
        <f t="array" ref="AF3">SUMPRODUCT(
  'User-Product'!$B3:$J3,
  INDEX('User-Product'!$B$2:$J$43, MATCH(AF$1, 'User-Product'!$A$2:$A$43, 0), 0)
)</f>
        <v>3</v>
      </c>
      <c r="AG3" s="51">
        <f t="array" ref="AG3">SUMPRODUCT(
  'User-Product'!$B3:$J3,
  INDEX('User-Product'!$B$2:$J$43, MATCH(AG$1, 'User-Product'!$A$2:$A$43, 0), 0)
)</f>
        <v>0</v>
      </c>
      <c r="AH3" s="51">
        <f t="array" ref="AH3">SUMPRODUCT(
  'User-Product'!$B3:$J3,
  INDEX('User-Product'!$B$2:$J$43, MATCH(AH$1, 'User-Product'!$A$2:$A$43, 0), 0)
)</f>
        <v>1</v>
      </c>
      <c r="AI3" s="51">
        <f t="array" ref="AI3">SUMPRODUCT(
  'User-Product'!$B3:$J3,
  INDEX('User-Product'!$B$2:$J$43, MATCH(AI$1, 'User-Product'!$A$2:$A$43, 0), 0)
)</f>
        <v>1</v>
      </c>
      <c r="AJ3" s="51">
        <f t="array" ref="AJ3">SUMPRODUCT(
  'User-Product'!$B3:$J3,
  INDEX('User-Product'!$B$2:$J$43, MATCH(AJ$1, 'User-Product'!$A$2:$A$43, 0), 0)
)</f>
        <v>0</v>
      </c>
      <c r="AK3" s="51">
        <f t="array" ref="AK3">SUMPRODUCT(
  'User-Product'!$B3:$J3,
  INDEX('User-Product'!$B$2:$J$43, MATCH(AK$1, 'User-Product'!$A$2:$A$43, 0), 0)
)</f>
        <v>1</v>
      </c>
      <c r="AL3" s="51">
        <f t="array" ref="AL3">SUMPRODUCT(
  'User-Product'!$B3:$J3,
  INDEX('User-Product'!$B$2:$J$43, MATCH(AL$1, 'User-Product'!$A$2:$A$43, 0), 0)
)</f>
        <v>2</v>
      </c>
      <c r="AM3" s="51">
        <f t="array" ref="AM3">SUMPRODUCT(
  'User-Product'!$B3:$J3,
  INDEX('User-Product'!$B$2:$J$43, MATCH(AM$1, 'User-Product'!$A$2:$A$43, 0), 0)
)</f>
        <v>1</v>
      </c>
      <c r="AN3" s="51">
        <f t="array" ref="AN3">SUMPRODUCT(
  'User-Product'!$B3:$J3,
  INDEX('User-Product'!$B$2:$J$43, MATCH(AN$1, 'User-Product'!$A$2:$A$43, 0), 0)
)</f>
        <v>2</v>
      </c>
      <c r="AO3" s="51">
        <f t="array" ref="AO3">SUMPRODUCT(
  'User-Product'!$B3:$J3,
  INDEX('User-Product'!$B$2:$J$43, MATCH(AO$1, 'User-Product'!$A$2:$A$43, 0), 0)
)</f>
        <v>0</v>
      </c>
      <c r="AP3" s="51">
        <f t="array" ref="AP3">SUMPRODUCT(
  'User-Product'!$B3:$J3,
  INDEX('User-Product'!$B$2:$J$43, MATCH(AP$1, 'User-Product'!$A$2:$A$43, 0), 0)
)</f>
        <v>1</v>
      </c>
      <c r="AQ3" s="51">
        <f t="array" ref="AQ3">SUMPRODUCT(
  'User-Product'!$B3:$J3,
  INDEX('User-Product'!$B$2:$J$43, MATCH(AQ$1, 'User-Product'!$A$2:$A$43, 0), 0)
)</f>
        <v>2</v>
      </c>
      <c r="AR3" s="51"/>
      <c r="AS3" s="51"/>
      <c r="AT3" s="51"/>
      <c r="AU3" s="51"/>
      <c r="AV3" s="51"/>
      <c r="AW3" s="51"/>
      <c r="AX3" s="51"/>
      <c r="AY3" s="51"/>
    </row>
    <row r="4">
      <c r="A4" s="52" t="s">
        <v>64</v>
      </c>
      <c r="B4" s="51">
        <f t="array" ref="B4">SUMPRODUCT(
  'User-Product'!$B4:$J4,
  INDEX('User-Product'!$B$2:$J$43, MATCH(B$1, 'User-Product'!$A$2:$A$43, 0), 0)
)</f>
        <v>1</v>
      </c>
      <c r="C4" s="51">
        <f t="array" ref="C4">SUMPRODUCT(
  'User-Product'!$B4:$J4,
  INDEX('User-Product'!$B$2:$J$43, MATCH(C$1, 'User-Product'!$A$2:$A$43, 0), 0)
)</f>
        <v>0</v>
      </c>
      <c r="D4" s="51">
        <f t="array" ref="D4">SUMPRODUCT(
  'User-Product'!$B4:$J4,
  INDEX('User-Product'!$B$2:$J$43, MATCH(D$1, 'User-Product'!$A$2:$A$43, 0), 0)
)</f>
        <v>2</v>
      </c>
      <c r="E4" s="51">
        <f t="array" ref="E4">SUMPRODUCT(
  'User-Product'!$B4:$J4,
  INDEX('User-Product'!$B$2:$J$43, MATCH(E$1, 'User-Product'!$A$2:$A$43, 0), 0)
)</f>
        <v>0</v>
      </c>
      <c r="F4" s="51">
        <f t="array" ref="F4">SUMPRODUCT(
  'User-Product'!$B4:$J4,
  INDEX('User-Product'!$B$2:$J$43, MATCH(F$1, 'User-Product'!$A$2:$A$43, 0), 0)
)</f>
        <v>2</v>
      </c>
      <c r="G4" s="51">
        <f t="array" ref="G4">SUMPRODUCT(
  'User-Product'!$B4:$J4,
  INDEX('User-Product'!$B$2:$J$43, MATCH(G$1, 'User-Product'!$A$2:$A$43, 0), 0)
)</f>
        <v>1</v>
      </c>
      <c r="H4" s="51">
        <f t="array" ref="H4">SUMPRODUCT(
  'User-Product'!$B4:$J4,
  INDEX('User-Product'!$B$2:$J$43, MATCH(H$1, 'User-Product'!$A$2:$A$43, 0), 0)
)</f>
        <v>1</v>
      </c>
      <c r="I4" s="51">
        <f t="array" ref="I4">SUMPRODUCT(
  'User-Product'!$B4:$J4,
  INDEX('User-Product'!$B$2:$J$43, MATCH(I$1, 'User-Product'!$A$2:$A$43, 0), 0)
)</f>
        <v>1</v>
      </c>
      <c r="J4" s="51">
        <f t="array" ref="J4">SUMPRODUCT(
  'User-Product'!$B4:$J4,
  INDEX('User-Product'!$B$2:$J$43, MATCH(J$1, 'User-Product'!$A$2:$A$43, 0), 0)
)</f>
        <v>2</v>
      </c>
      <c r="K4" s="51">
        <f t="array" ref="K4">SUMPRODUCT(
  'User-Product'!$B4:$J4,
  INDEX('User-Product'!$B$2:$J$43, MATCH(K$1, 'User-Product'!$A$2:$A$43, 0), 0)
)</f>
        <v>1</v>
      </c>
      <c r="L4" s="51">
        <f t="array" ref="L4">SUMPRODUCT(
  'User-Product'!$B4:$J4,
  INDEX('User-Product'!$B$2:$J$43, MATCH(L$1, 'User-Product'!$A$2:$A$43, 0), 0)
)</f>
        <v>1</v>
      </c>
      <c r="M4" s="51">
        <f t="array" ref="M4">SUMPRODUCT(
  'User-Product'!$B4:$J4,
  INDEX('User-Product'!$B$2:$J$43, MATCH(M$1, 'User-Product'!$A$2:$A$43, 0), 0)
)</f>
        <v>0</v>
      </c>
      <c r="N4" s="51">
        <f t="array" ref="N4">SUMPRODUCT(
  'User-Product'!$B4:$J4,
  INDEX('User-Product'!$B$2:$J$43, MATCH(N$1, 'User-Product'!$A$2:$A$43, 0), 0)
)</f>
        <v>1</v>
      </c>
      <c r="O4" s="51">
        <f t="array" ref="O4">SUMPRODUCT(
  'User-Product'!$B4:$J4,
  INDEX('User-Product'!$B$2:$J$43, MATCH(O$1, 'User-Product'!$A$2:$A$43, 0), 0)
)</f>
        <v>0</v>
      </c>
      <c r="P4" s="51">
        <f t="array" ref="P4">SUMPRODUCT(
  'User-Product'!$B4:$J4,
  INDEX('User-Product'!$B$2:$J$43, MATCH(P$1, 'User-Product'!$A$2:$A$43, 0), 0)
)</f>
        <v>1</v>
      </c>
      <c r="Q4" s="51">
        <f t="array" ref="Q4">SUMPRODUCT(
  'User-Product'!$B4:$J4,
  INDEX('User-Product'!$B$2:$J$43, MATCH(Q$1, 'User-Product'!$A$2:$A$43, 0), 0)
)</f>
        <v>1</v>
      </c>
      <c r="R4" s="51">
        <f t="array" ref="R4">SUMPRODUCT(
  'User-Product'!$B4:$J4,
  INDEX('User-Product'!$B$2:$J$43, MATCH(R$1, 'User-Product'!$A$2:$A$43, 0), 0)
)</f>
        <v>2</v>
      </c>
      <c r="S4" s="51">
        <f t="array" ref="S4">SUMPRODUCT(
  'User-Product'!$B4:$J4,
  INDEX('User-Product'!$B$2:$J$43, MATCH(S$1, 'User-Product'!$A$2:$A$43, 0), 0)
)</f>
        <v>0</v>
      </c>
      <c r="T4" s="51">
        <f t="array" ref="T4">SUMPRODUCT(
  'User-Product'!$B4:$J4,
  INDEX('User-Product'!$B$2:$J$43, MATCH(T$1, 'User-Product'!$A$2:$A$43, 0), 0)
)</f>
        <v>0</v>
      </c>
      <c r="U4" s="51">
        <f t="array" ref="U4">SUMPRODUCT(
  'User-Product'!$B4:$J4,
  INDEX('User-Product'!$B$2:$J$43, MATCH(U$1, 'User-Product'!$A$2:$A$43, 0), 0)
)</f>
        <v>0</v>
      </c>
      <c r="V4" s="51">
        <f t="array" ref="V4">SUMPRODUCT(
  'User-Product'!$B4:$J4,
  INDEX('User-Product'!$B$2:$J$43, MATCH(V$1, 'User-Product'!$A$2:$A$43, 0), 0)
)</f>
        <v>0</v>
      </c>
      <c r="W4" s="51">
        <f t="array" ref="W4">SUMPRODUCT(
  'User-Product'!$B4:$J4,
  INDEX('User-Product'!$B$2:$J$43, MATCH(W$1, 'User-Product'!$A$2:$A$43, 0), 0)
)</f>
        <v>0</v>
      </c>
      <c r="X4" s="51">
        <f t="array" ref="X4">SUMPRODUCT(
  'User-Product'!$B4:$J4,
  INDEX('User-Product'!$B$2:$J$43, MATCH(X$1, 'User-Product'!$A$2:$A$43, 0), 0)
)</f>
        <v>0</v>
      </c>
      <c r="Y4" s="51">
        <f t="array" ref="Y4">SUMPRODUCT(
  'User-Product'!$B4:$J4,
  INDEX('User-Product'!$B$2:$J$43, MATCH(Y$1, 'User-Product'!$A$2:$A$43, 0), 0)
)</f>
        <v>1</v>
      </c>
      <c r="Z4" s="51">
        <f t="array" ref="Z4">SUMPRODUCT(
  'User-Product'!$B4:$J4,
  INDEX('User-Product'!$B$2:$J$43, MATCH(Z$1, 'User-Product'!$A$2:$A$43, 0), 0)
)</f>
        <v>0</v>
      </c>
      <c r="AA4" s="51">
        <f t="array" ref="AA4">SUMPRODUCT(
  'User-Product'!$B4:$J4,
  INDEX('User-Product'!$B$2:$J$43, MATCH(AA$1, 'User-Product'!$A$2:$A$43, 0), 0)
)</f>
        <v>0</v>
      </c>
      <c r="AB4" s="51">
        <f t="array" ref="AB4">SUMPRODUCT(
  'User-Product'!$B4:$J4,
  INDEX('User-Product'!$B$2:$J$43, MATCH(AB$1, 'User-Product'!$A$2:$A$43, 0), 0)
)</f>
        <v>1</v>
      </c>
      <c r="AC4" s="51">
        <f t="array" ref="AC4">SUMPRODUCT(
  'User-Product'!$B4:$J4,
  INDEX('User-Product'!$B$2:$J$43, MATCH(AC$1, 'User-Product'!$A$2:$A$43, 0), 0)
)</f>
        <v>2</v>
      </c>
      <c r="AD4" s="51">
        <f t="array" ref="AD4">SUMPRODUCT(
  'User-Product'!$B4:$J4,
  INDEX('User-Product'!$B$2:$J$43, MATCH(AD$1, 'User-Product'!$A$2:$A$43, 0), 0)
)</f>
        <v>2</v>
      </c>
      <c r="AE4" s="51">
        <f t="array" ref="AE4">SUMPRODUCT(
  'User-Product'!$B4:$J4,
  INDEX('User-Product'!$B$2:$J$43, MATCH(AE$1, 'User-Product'!$A$2:$A$43, 0), 0)
)</f>
        <v>1</v>
      </c>
      <c r="AF4" s="51">
        <f t="array" ref="AF4">SUMPRODUCT(
  'User-Product'!$B4:$J4,
  INDEX('User-Product'!$B$2:$J$43, MATCH(AF$1, 'User-Product'!$A$2:$A$43, 0), 0)
)</f>
        <v>2</v>
      </c>
      <c r="AG4" s="51">
        <f t="array" ref="AG4">SUMPRODUCT(
  'User-Product'!$B4:$J4,
  INDEX('User-Product'!$B$2:$J$43, MATCH(AG$1, 'User-Product'!$A$2:$A$43, 0), 0)
)</f>
        <v>1</v>
      </c>
      <c r="AH4" s="51">
        <f t="array" ref="AH4">SUMPRODUCT(
  'User-Product'!$B4:$J4,
  INDEX('User-Product'!$B$2:$J$43, MATCH(AH$1, 'User-Product'!$A$2:$A$43, 0), 0)
)</f>
        <v>0</v>
      </c>
      <c r="AI4" s="51">
        <f t="array" ref="AI4">SUMPRODUCT(
  'User-Product'!$B4:$J4,
  INDEX('User-Product'!$B$2:$J$43, MATCH(AI$1, 'User-Product'!$A$2:$A$43, 0), 0)
)</f>
        <v>0</v>
      </c>
      <c r="AJ4" s="51">
        <f t="array" ref="AJ4">SUMPRODUCT(
  'User-Product'!$B4:$J4,
  INDEX('User-Product'!$B$2:$J$43, MATCH(AJ$1, 'User-Product'!$A$2:$A$43, 0), 0)
)</f>
        <v>0</v>
      </c>
      <c r="AK4" s="51">
        <f t="array" ref="AK4">SUMPRODUCT(
  'User-Product'!$B4:$J4,
  INDEX('User-Product'!$B$2:$J$43, MATCH(AK$1, 'User-Product'!$A$2:$A$43, 0), 0)
)</f>
        <v>0</v>
      </c>
      <c r="AL4" s="51">
        <f t="array" ref="AL4">SUMPRODUCT(
  'User-Product'!$B4:$J4,
  INDEX('User-Product'!$B$2:$J$43, MATCH(AL$1, 'User-Product'!$A$2:$A$43, 0), 0)
)</f>
        <v>1</v>
      </c>
      <c r="AM4" s="51">
        <f t="array" ref="AM4">SUMPRODUCT(
  'User-Product'!$B4:$J4,
  INDEX('User-Product'!$B$2:$J$43, MATCH(AM$1, 'User-Product'!$A$2:$A$43, 0), 0)
)</f>
        <v>0</v>
      </c>
      <c r="AN4" s="51">
        <f t="array" ref="AN4">SUMPRODUCT(
  'User-Product'!$B4:$J4,
  INDEX('User-Product'!$B$2:$J$43, MATCH(AN$1, 'User-Product'!$A$2:$A$43, 0), 0)
)</f>
        <v>2</v>
      </c>
      <c r="AO4" s="51">
        <f t="array" ref="AO4">SUMPRODUCT(
  'User-Product'!$B4:$J4,
  INDEX('User-Product'!$B$2:$J$43, MATCH(AO$1, 'User-Product'!$A$2:$A$43, 0), 0)
)</f>
        <v>0</v>
      </c>
      <c r="AP4" s="51">
        <f t="array" ref="AP4">SUMPRODUCT(
  'User-Product'!$B4:$J4,
  INDEX('User-Product'!$B$2:$J$43, MATCH(AP$1, 'User-Product'!$A$2:$A$43, 0), 0)
)</f>
        <v>1</v>
      </c>
      <c r="AQ4" s="51">
        <f t="array" ref="AQ4">SUMPRODUCT(
  'User-Product'!$B4:$J4,
  INDEX('User-Product'!$B$2:$J$43, MATCH(AQ$1, 'User-Product'!$A$2:$A$43, 0), 0)
)</f>
        <v>2</v>
      </c>
      <c r="AR4" s="51"/>
      <c r="AS4" s="51"/>
      <c r="AT4" s="51"/>
      <c r="AU4" s="51"/>
      <c r="AV4" s="51"/>
      <c r="AW4" s="51"/>
      <c r="AX4" s="51"/>
      <c r="AY4" s="51"/>
    </row>
    <row r="5">
      <c r="A5" s="52" t="s">
        <v>65</v>
      </c>
      <c r="B5" s="51">
        <f t="array" ref="B5">SUMPRODUCT(
  'User-Product'!$B5:$J5,
  INDEX('User-Product'!$B$2:$J$43, MATCH(B$1, 'User-Product'!$A$2:$A$43, 0), 0)
)</f>
        <v>0</v>
      </c>
      <c r="C5" s="51">
        <f t="array" ref="C5">SUMPRODUCT(
  'User-Product'!$B5:$J5,
  INDEX('User-Product'!$B$2:$J$43, MATCH(C$1, 'User-Product'!$A$2:$A$43, 0), 0)
)</f>
        <v>0</v>
      </c>
      <c r="D5" s="51">
        <f t="array" ref="D5">SUMPRODUCT(
  'User-Product'!$B5:$J5,
  INDEX('User-Product'!$B$2:$J$43, MATCH(D$1, 'User-Product'!$A$2:$A$43, 0), 0)
)</f>
        <v>0</v>
      </c>
      <c r="E5" s="51">
        <f t="array" ref="E5">SUMPRODUCT(
  'User-Product'!$B5:$J5,
  INDEX('User-Product'!$B$2:$J$43, MATCH(E$1, 'User-Product'!$A$2:$A$43, 0), 0)
)</f>
        <v>1</v>
      </c>
      <c r="F5" s="51">
        <f t="array" ref="F5">SUMPRODUCT(
  'User-Product'!$B5:$J5,
  INDEX('User-Product'!$B$2:$J$43, MATCH(F$1, 'User-Product'!$A$2:$A$43, 0), 0)
)</f>
        <v>1</v>
      </c>
      <c r="G5" s="51">
        <f t="array" ref="G5">SUMPRODUCT(
  'User-Product'!$B5:$J5,
  INDEX('User-Product'!$B$2:$J$43, MATCH(G$1, 'User-Product'!$A$2:$A$43, 0), 0)
)</f>
        <v>0</v>
      </c>
      <c r="H5" s="51">
        <f t="array" ref="H5">SUMPRODUCT(
  'User-Product'!$B5:$J5,
  INDEX('User-Product'!$B$2:$J$43, MATCH(H$1, 'User-Product'!$A$2:$A$43, 0), 0)
)</f>
        <v>1</v>
      </c>
      <c r="I5" s="51">
        <f t="array" ref="I5">SUMPRODUCT(
  'User-Product'!$B5:$J5,
  INDEX('User-Product'!$B$2:$J$43, MATCH(I$1, 'User-Product'!$A$2:$A$43, 0), 0)
)</f>
        <v>1</v>
      </c>
      <c r="J5" s="51">
        <f t="array" ref="J5">SUMPRODUCT(
  'User-Product'!$B5:$J5,
  INDEX('User-Product'!$B$2:$J$43, MATCH(J$1, 'User-Product'!$A$2:$A$43, 0), 0)
)</f>
        <v>1</v>
      </c>
      <c r="K5" s="51">
        <f t="array" ref="K5">SUMPRODUCT(
  'User-Product'!$B5:$J5,
  INDEX('User-Product'!$B$2:$J$43, MATCH(K$1, 'User-Product'!$A$2:$A$43, 0), 0)
)</f>
        <v>0</v>
      </c>
      <c r="L5" s="51">
        <f t="array" ref="L5">SUMPRODUCT(
  'User-Product'!$B5:$J5,
  INDEX('User-Product'!$B$2:$J$43, MATCH(L$1, 'User-Product'!$A$2:$A$43, 0), 0)
)</f>
        <v>0</v>
      </c>
      <c r="M5" s="51">
        <f t="array" ref="M5">SUMPRODUCT(
  'User-Product'!$B5:$J5,
  INDEX('User-Product'!$B$2:$J$43, MATCH(M$1, 'User-Product'!$A$2:$A$43, 0), 0)
)</f>
        <v>0</v>
      </c>
      <c r="N5" s="51">
        <f t="array" ref="N5">SUMPRODUCT(
  'User-Product'!$B5:$J5,
  INDEX('User-Product'!$B$2:$J$43, MATCH(N$1, 'User-Product'!$A$2:$A$43, 0), 0)
)</f>
        <v>0</v>
      </c>
      <c r="O5" s="51">
        <f t="array" ref="O5">SUMPRODUCT(
  'User-Product'!$B5:$J5,
  INDEX('User-Product'!$B$2:$J$43, MATCH(O$1, 'User-Product'!$A$2:$A$43, 0), 0)
)</f>
        <v>0</v>
      </c>
      <c r="P5" s="51">
        <f t="array" ref="P5">SUMPRODUCT(
  'User-Product'!$B5:$J5,
  INDEX('User-Product'!$B$2:$J$43, MATCH(P$1, 'User-Product'!$A$2:$A$43, 0), 0)
)</f>
        <v>1</v>
      </c>
      <c r="Q5" s="51">
        <f t="array" ref="Q5">SUMPRODUCT(
  'User-Product'!$B5:$J5,
  INDEX('User-Product'!$B$2:$J$43, MATCH(Q$1, 'User-Product'!$A$2:$A$43, 0), 0)
)</f>
        <v>0</v>
      </c>
      <c r="R5" s="51">
        <f t="array" ref="R5">SUMPRODUCT(
  'User-Product'!$B5:$J5,
  INDEX('User-Product'!$B$2:$J$43, MATCH(R$1, 'User-Product'!$A$2:$A$43, 0), 0)
)</f>
        <v>0</v>
      </c>
      <c r="S5" s="51">
        <f t="array" ref="S5">SUMPRODUCT(
  'User-Product'!$B5:$J5,
  INDEX('User-Product'!$B$2:$J$43, MATCH(S$1, 'User-Product'!$A$2:$A$43, 0), 0)
)</f>
        <v>1</v>
      </c>
      <c r="T5" s="51">
        <f t="array" ref="T5">SUMPRODUCT(
  'User-Product'!$B5:$J5,
  INDEX('User-Product'!$B$2:$J$43, MATCH(T$1, 'User-Product'!$A$2:$A$43, 0), 0)
)</f>
        <v>1</v>
      </c>
      <c r="U5" s="51">
        <f t="array" ref="U5">SUMPRODUCT(
  'User-Product'!$B5:$J5,
  INDEX('User-Product'!$B$2:$J$43, MATCH(U$1, 'User-Product'!$A$2:$A$43, 0), 0)
)</f>
        <v>1</v>
      </c>
      <c r="V5" s="51">
        <f t="array" ref="V5">SUMPRODUCT(
  'User-Product'!$B5:$J5,
  INDEX('User-Product'!$B$2:$J$43, MATCH(V$1, 'User-Product'!$A$2:$A$43, 0), 0)
)</f>
        <v>0</v>
      </c>
      <c r="W5" s="51">
        <f t="array" ref="W5">SUMPRODUCT(
  'User-Product'!$B5:$J5,
  INDEX('User-Product'!$B$2:$J$43, MATCH(W$1, 'User-Product'!$A$2:$A$43, 0), 0)
)</f>
        <v>0</v>
      </c>
      <c r="X5" s="51">
        <f t="array" ref="X5">SUMPRODUCT(
  'User-Product'!$B5:$J5,
  INDEX('User-Product'!$B$2:$J$43, MATCH(X$1, 'User-Product'!$A$2:$A$43, 0), 0)
)</f>
        <v>0</v>
      </c>
      <c r="Y5" s="51">
        <f t="array" ref="Y5">SUMPRODUCT(
  'User-Product'!$B5:$J5,
  INDEX('User-Product'!$B$2:$J$43, MATCH(Y$1, 'User-Product'!$A$2:$A$43, 0), 0)
)</f>
        <v>0</v>
      </c>
      <c r="Z5" s="51">
        <f t="array" ref="Z5">SUMPRODUCT(
  'User-Product'!$B5:$J5,
  INDEX('User-Product'!$B$2:$J$43, MATCH(Z$1, 'User-Product'!$A$2:$A$43, 0), 0)
)</f>
        <v>0</v>
      </c>
      <c r="AA5" s="51">
        <f t="array" ref="AA5">SUMPRODUCT(
  'User-Product'!$B5:$J5,
  INDEX('User-Product'!$B$2:$J$43, MATCH(AA$1, 'User-Product'!$A$2:$A$43, 0), 0)
)</f>
        <v>0</v>
      </c>
      <c r="AB5" s="51">
        <f t="array" ref="AB5">SUMPRODUCT(
  'User-Product'!$B5:$J5,
  INDEX('User-Product'!$B$2:$J$43, MATCH(AB$1, 'User-Product'!$A$2:$A$43, 0), 0)
)</f>
        <v>0</v>
      </c>
      <c r="AC5" s="51">
        <f t="array" ref="AC5">SUMPRODUCT(
  'User-Product'!$B5:$J5,
  INDEX('User-Product'!$B$2:$J$43, MATCH(AC$1, 'User-Product'!$A$2:$A$43, 0), 0)
)</f>
        <v>0</v>
      </c>
      <c r="AD5" s="51">
        <f t="array" ref="AD5">SUMPRODUCT(
  'User-Product'!$B5:$J5,
  INDEX('User-Product'!$B$2:$J$43, MATCH(AD$1, 'User-Product'!$A$2:$A$43, 0), 0)
)</f>
        <v>1</v>
      </c>
      <c r="AE5" s="51">
        <f t="array" ref="AE5">SUMPRODUCT(
  'User-Product'!$B5:$J5,
  INDEX('User-Product'!$B$2:$J$43, MATCH(AE$1, 'User-Product'!$A$2:$A$43, 0), 0)
)</f>
        <v>0</v>
      </c>
      <c r="AF5" s="51">
        <f t="array" ref="AF5">SUMPRODUCT(
  'User-Product'!$B5:$J5,
  INDEX('User-Product'!$B$2:$J$43, MATCH(AF$1, 'User-Product'!$A$2:$A$43, 0), 0)
)</f>
        <v>1</v>
      </c>
      <c r="AG5" s="51">
        <f t="array" ref="AG5">SUMPRODUCT(
  'User-Product'!$B5:$J5,
  INDEX('User-Product'!$B$2:$J$43, MATCH(AG$1, 'User-Product'!$A$2:$A$43, 0), 0)
)</f>
        <v>1</v>
      </c>
      <c r="AH5" s="51">
        <f t="array" ref="AH5">SUMPRODUCT(
  'User-Product'!$B5:$J5,
  INDEX('User-Product'!$B$2:$J$43, MATCH(AH$1, 'User-Product'!$A$2:$A$43, 0), 0)
)</f>
        <v>1</v>
      </c>
      <c r="AI5" s="51">
        <f t="array" ref="AI5">SUMPRODUCT(
  'User-Product'!$B5:$J5,
  INDEX('User-Product'!$B$2:$J$43, MATCH(AI$1, 'User-Product'!$A$2:$A$43, 0), 0)
)</f>
        <v>1</v>
      </c>
      <c r="AJ5" s="51">
        <f t="array" ref="AJ5">SUMPRODUCT(
  'User-Product'!$B5:$J5,
  INDEX('User-Product'!$B$2:$J$43, MATCH(AJ$1, 'User-Product'!$A$2:$A$43, 0), 0)
)</f>
        <v>1</v>
      </c>
      <c r="AK5" s="51">
        <f t="array" ref="AK5">SUMPRODUCT(
  'User-Product'!$B5:$J5,
  INDEX('User-Product'!$B$2:$J$43, MATCH(AK$1, 'User-Product'!$A$2:$A$43, 0), 0)
)</f>
        <v>0</v>
      </c>
      <c r="AL5" s="51">
        <f t="array" ref="AL5">SUMPRODUCT(
  'User-Product'!$B5:$J5,
  INDEX('User-Product'!$B$2:$J$43, MATCH(AL$1, 'User-Product'!$A$2:$A$43, 0), 0)
)</f>
        <v>0</v>
      </c>
      <c r="AM5" s="51">
        <f t="array" ref="AM5">SUMPRODUCT(
  'User-Product'!$B5:$J5,
  INDEX('User-Product'!$B$2:$J$43, MATCH(AM$1, 'User-Product'!$A$2:$A$43, 0), 0)
)</f>
        <v>0</v>
      </c>
      <c r="AN5" s="51">
        <f t="array" ref="AN5">SUMPRODUCT(
  'User-Product'!$B5:$J5,
  INDEX('User-Product'!$B$2:$J$43, MATCH(AN$1, 'User-Product'!$A$2:$A$43, 0), 0)
)</f>
        <v>1</v>
      </c>
      <c r="AO5" s="51">
        <f t="array" ref="AO5">SUMPRODUCT(
  'User-Product'!$B5:$J5,
  INDEX('User-Product'!$B$2:$J$43, MATCH(AO$1, 'User-Product'!$A$2:$A$43, 0), 0)
)</f>
        <v>1</v>
      </c>
      <c r="AP5" s="51">
        <f t="array" ref="AP5">SUMPRODUCT(
  'User-Product'!$B5:$J5,
  INDEX('User-Product'!$B$2:$J$43, MATCH(AP$1, 'User-Product'!$A$2:$A$43, 0), 0)
)</f>
        <v>0</v>
      </c>
      <c r="AQ5" s="51">
        <f t="array" ref="AQ5">SUMPRODUCT(
  'User-Product'!$B5:$J5,
  INDEX('User-Product'!$B$2:$J$43, MATCH(AQ$1, 'User-Product'!$A$2:$A$43, 0), 0)
)</f>
        <v>1</v>
      </c>
      <c r="AR5" s="51"/>
      <c r="AS5" s="51"/>
      <c r="AT5" s="51"/>
      <c r="AU5" s="51"/>
      <c r="AV5" s="51"/>
      <c r="AW5" s="51"/>
      <c r="AX5" s="51"/>
      <c r="AY5" s="51"/>
    </row>
    <row r="6">
      <c r="A6" s="52" t="s">
        <v>66</v>
      </c>
      <c r="B6" s="51">
        <f t="array" ref="B6">SUMPRODUCT(
  'User-Product'!$B6:$J6,
  INDEX('User-Product'!$B$2:$J$43, MATCH(B$1, 'User-Product'!$A$2:$A$43, 0), 0)
)</f>
        <v>3</v>
      </c>
      <c r="C6" s="51">
        <f t="array" ref="C6">SUMPRODUCT(
  'User-Product'!$B6:$J6,
  INDEX('User-Product'!$B$2:$J$43, MATCH(C$1, 'User-Product'!$A$2:$A$43, 0), 0)
)</f>
        <v>3</v>
      </c>
      <c r="D6" s="51">
        <f t="array" ref="D6">SUMPRODUCT(
  'User-Product'!$B6:$J6,
  INDEX('User-Product'!$B$2:$J$43, MATCH(D$1, 'User-Product'!$A$2:$A$43, 0), 0)
)</f>
        <v>2</v>
      </c>
      <c r="E6" s="51">
        <f t="array" ref="E6">SUMPRODUCT(
  'User-Product'!$B6:$J6,
  INDEX('User-Product'!$B$2:$J$43, MATCH(E$1, 'User-Product'!$A$2:$A$43, 0), 0)
)</f>
        <v>1</v>
      </c>
      <c r="F6" s="51">
        <f t="array" ref="F6">SUMPRODUCT(
  'User-Product'!$B6:$J6,
  INDEX('User-Product'!$B$2:$J$43, MATCH(F$1, 'User-Product'!$A$2:$A$43, 0), 0)
)</f>
        <v>9</v>
      </c>
      <c r="G6" s="51">
        <f t="array" ref="G6">SUMPRODUCT(
  'User-Product'!$B6:$J6,
  INDEX('User-Product'!$B$2:$J$43, MATCH(G$1, 'User-Product'!$A$2:$A$43, 0), 0)
)</f>
        <v>2</v>
      </c>
      <c r="H6" s="51">
        <f t="array" ref="H6">SUMPRODUCT(
  'User-Product'!$B6:$J6,
  INDEX('User-Product'!$B$2:$J$43, MATCH(H$1, 'User-Product'!$A$2:$A$43, 0), 0)
)</f>
        <v>6</v>
      </c>
      <c r="I6" s="51">
        <f t="array" ref="I6">SUMPRODUCT(
  'User-Product'!$B6:$J6,
  INDEX('User-Product'!$B$2:$J$43, MATCH(I$1, 'User-Product'!$A$2:$A$43, 0), 0)
)</f>
        <v>3</v>
      </c>
      <c r="J6" s="51">
        <f t="array" ref="J6">SUMPRODUCT(
  'User-Product'!$B6:$J6,
  INDEX('User-Product'!$B$2:$J$43, MATCH(J$1, 'User-Product'!$A$2:$A$43, 0), 0)
)</f>
        <v>6</v>
      </c>
      <c r="K6" s="51">
        <f t="array" ref="K6">SUMPRODUCT(
  'User-Product'!$B6:$J6,
  INDEX('User-Product'!$B$2:$J$43, MATCH(K$1, 'User-Product'!$A$2:$A$43, 0), 0)
)</f>
        <v>3</v>
      </c>
      <c r="L6" s="51">
        <f t="array" ref="L6">SUMPRODUCT(
  'User-Product'!$B6:$J6,
  INDEX('User-Product'!$B$2:$J$43, MATCH(L$1, 'User-Product'!$A$2:$A$43, 0), 0)
)</f>
        <v>1</v>
      </c>
      <c r="M6" s="51">
        <f t="array" ref="M6">SUMPRODUCT(
  'User-Product'!$B6:$J6,
  INDEX('User-Product'!$B$2:$J$43, MATCH(M$1, 'User-Product'!$A$2:$A$43, 0), 0)
)</f>
        <v>1</v>
      </c>
      <c r="N6" s="51">
        <f t="array" ref="N6">SUMPRODUCT(
  'User-Product'!$B6:$J6,
  INDEX('User-Product'!$B$2:$J$43, MATCH(N$1, 'User-Product'!$A$2:$A$43, 0), 0)
)</f>
        <v>1</v>
      </c>
      <c r="O6" s="51">
        <f t="array" ref="O6">SUMPRODUCT(
  'User-Product'!$B6:$J6,
  INDEX('User-Product'!$B$2:$J$43, MATCH(O$1, 'User-Product'!$A$2:$A$43, 0), 0)
)</f>
        <v>2</v>
      </c>
      <c r="P6" s="51">
        <f t="array" ref="P6">SUMPRODUCT(
  'User-Product'!$B6:$J6,
  INDEX('User-Product'!$B$2:$J$43, MATCH(P$1, 'User-Product'!$A$2:$A$43, 0), 0)
)</f>
        <v>3</v>
      </c>
      <c r="Q6" s="51">
        <f t="array" ref="Q6">SUMPRODUCT(
  'User-Product'!$B6:$J6,
  INDEX('User-Product'!$B$2:$J$43, MATCH(Q$1, 'User-Product'!$A$2:$A$43, 0), 0)
)</f>
        <v>1</v>
      </c>
      <c r="R6" s="51">
        <f t="array" ref="R6">SUMPRODUCT(
  'User-Product'!$B6:$J6,
  INDEX('User-Product'!$B$2:$J$43, MATCH(R$1, 'User-Product'!$A$2:$A$43, 0), 0)
)</f>
        <v>2</v>
      </c>
      <c r="S6" s="51">
        <f t="array" ref="S6">SUMPRODUCT(
  'User-Product'!$B6:$J6,
  INDEX('User-Product'!$B$2:$J$43, MATCH(S$1, 'User-Product'!$A$2:$A$43, 0), 0)
)</f>
        <v>3</v>
      </c>
      <c r="T6" s="51">
        <f t="array" ref="T6">SUMPRODUCT(
  'User-Product'!$B6:$J6,
  INDEX('User-Product'!$B$2:$J$43, MATCH(T$1, 'User-Product'!$A$2:$A$43, 0), 0)
)</f>
        <v>6</v>
      </c>
      <c r="U6" s="51">
        <f t="array" ref="U6">SUMPRODUCT(
  'User-Product'!$B6:$J6,
  INDEX('User-Product'!$B$2:$J$43, MATCH(U$1, 'User-Product'!$A$2:$A$43, 0), 0)
)</f>
        <v>4</v>
      </c>
      <c r="V6" s="51">
        <f t="array" ref="V6">SUMPRODUCT(
  'User-Product'!$B6:$J6,
  INDEX('User-Product'!$B$2:$J$43, MATCH(V$1, 'User-Product'!$A$2:$A$43, 0), 0)
)</f>
        <v>1</v>
      </c>
      <c r="W6" s="51">
        <f t="array" ref="W6">SUMPRODUCT(
  'User-Product'!$B6:$J6,
  INDEX('User-Product'!$B$2:$J$43, MATCH(W$1, 'User-Product'!$A$2:$A$43, 0), 0)
)</f>
        <v>1</v>
      </c>
      <c r="X6" s="51">
        <f t="array" ref="X6">SUMPRODUCT(
  'User-Product'!$B6:$J6,
  INDEX('User-Product'!$B$2:$J$43, MATCH(X$1, 'User-Product'!$A$2:$A$43, 0), 0)
)</f>
        <v>1</v>
      </c>
      <c r="Y6" s="51">
        <f t="array" ref="Y6">SUMPRODUCT(
  'User-Product'!$B6:$J6,
  INDEX('User-Product'!$B$2:$J$43, MATCH(Y$1, 'User-Product'!$A$2:$A$43, 0), 0)
)</f>
        <v>3</v>
      </c>
      <c r="Z6" s="51">
        <f t="array" ref="Z6">SUMPRODUCT(
  'User-Product'!$B6:$J6,
  INDEX('User-Product'!$B$2:$J$43, MATCH(Z$1, 'User-Product'!$A$2:$A$43, 0), 0)
)</f>
        <v>1</v>
      </c>
      <c r="AA6" s="51">
        <f t="array" ref="AA6">SUMPRODUCT(
  'User-Product'!$B6:$J6,
  INDEX('User-Product'!$B$2:$J$43, MATCH(AA$1, 'User-Product'!$A$2:$A$43, 0), 0)
)</f>
        <v>1</v>
      </c>
      <c r="AB6" s="51">
        <f t="array" ref="AB6">SUMPRODUCT(
  'User-Product'!$B6:$J6,
  INDEX('User-Product'!$B$2:$J$43, MATCH(AB$1, 'User-Product'!$A$2:$A$43, 0), 0)
)</f>
        <v>7</v>
      </c>
      <c r="AC6" s="51">
        <f t="array" ref="AC6">SUMPRODUCT(
  'User-Product'!$B6:$J6,
  INDEX('User-Product'!$B$2:$J$43, MATCH(AC$1, 'User-Product'!$A$2:$A$43, 0), 0)
)</f>
        <v>4</v>
      </c>
      <c r="AD6" s="51">
        <f t="array" ref="AD6">SUMPRODUCT(
  'User-Product'!$B6:$J6,
  INDEX('User-Product'!$B$2:$J$43, MATCH(AD$1, 'User-Product'!$A$2:$A$43, 0), 0)
)</f>
        <v>4</v>
      </c>
      <c r="AE6" s="51">
        <f t="array" ref="AE6">SUMPRODUCT(
  'User-Product'!$B6:$J6,
  INDEX('User-Product'!$B$2:$J$43, MATCH(AE$1, 'User-Product'!$A$2:$A$43, 0), 0)
)</f>
        <v>3</v>
      </c>
      <c r="AF6" s="51">
        <f t="array" ref="AF6">SUMPRODUCT(
  'User-Product'!$B6:$J6,
  INDEX('User-Product'!$B$2:$J$43, MATCH(AF$1, 'User-Product'!$A$2:$A$43, 0), 0)
)</f>
        <v>9</v>
      </c>
      <c r="AG6" s="51">
        <f t="array" ref="AG6">SUMPRODUCT(
  'User-Product'!$B6:$J6,
  INDEX('User-Product'!$B$2:$J$43, MATCH(AG$1, 'User-Product'!$A$2:$A$43, 0), 0)
)</f>
        <v>2</v>
      </c>
      <c r="AH6" s="51">
        <f t="array" ref="AH6">SUMPRODUCT(
  'User-Product'!$B6:$J6,
  INDEX('User-Product'!$B$2:$J$43, MATCH(AH$1, 'User-Product'!$A$2:$A$43, 0), 0)
)</f>
        <v>3</v>
      </c>
      <c r="AI6" s="51">
        <f t="array" ref="AI6">SUMPRODUCT(
  'User-Product'!$B6:$J6,
  INDEX('User-Product'!$B$2:$J$43, MATCH(AI$1, 'User-Product'!$A$2:$A$43, 0), 0)
)</f>
        <v>3</v>
      </c>
      <c r="AJ6" s="51">
        <f t="array" ref="AJ6">SUMPRODUCT(
  'User-Product'!$B6:$J6,
  INDEX('User-Product'!$B$2:$J$43, MATCH(AJ$1, 'User-Product'!$A$2:$A$43, 0), 0)
)</f>
        <v>1</v>
      </c>
      <c r="AK6" s="51">
        <f t="array" ref="AK6">SUMPRODUCT(
  'User-Product'!$B6:$J6,
  INDEX('User-Product'!$B$2:$J$43, MATCH(AK$1, 'User-Product'!$A$2:$A$43, 0), 0)
)</f>
        <v>1</v>
      </c>
      <c r="AL6" s="51">
        <f t="array" ref="AL6">SUMPRODUCT(
  'User-Product'!$B6:$J6,
  INDEX('User-Product'!$B$2:$J$43, MATCH(AL$1, 'User-Product'!$A$2:$A$43, 0), 0)
)</f>
        <v>5</v>
      </c>
      <c r="AM6" s="51">
        <f t="array" ref="AM6">SUMPRODUCT(
  'User-Product'!$B6:$J6,
  INDEX('User-Product'!$B$2:$J$43, MATCH(AM$1, 'User-Product'!$A$2:$A$43, 0), 0)
)</f>
        <v>1</v>
      </c>
      <c r="AN6" s="51">
        <f t="array" ref="AN6">SUMPRODUCT(
  'User-Product'!$B6:$J6,
  INDEX('User-Product'!$B$2:$J$43, MATCH(AN$1, 'User-Product'!$A$2:$A$43, 0), 0)
)</f>
        <v>7</v>
      </c>
      <c r="AO6" s="51">
        <f t="array" ref="AO6">SUMPRODUCT(
  'User-Product'!$B6:$J6,
  INDEX('User-Product'!$B$2:$J$43, MATCH(AO$1, 'User-Product'!$A$2:$A$43, 0), 0)
)</f>
        <v>1</v>
      </c>
      <c r="AP6" s="51">
        <f t="array" ref="AP6">SUMPRODUCT(
  'User-Product'!$B6:$J6,
  INDEX('User-Product'!$B$2:$J$43, MATCH(AP$1, 'User-Product'!$A$2:$A$43, 0), 0)
)</f>
        <v>3</v>
      </c>
      <c r="AQ6" s="51">
        <f t="array" ref="AQ6">SUMPRODUCT(
  'User-Product'!$B6:$J6,
  INDEX('User-Product'!$B$2:$J$43, MATCH(AQ$1, 'User-Product'!$A$2:$A$43, 0), 0)
)</f>
        <v>6</v>
      </c>
      <c r="AR6" s="51"/>
      <c r="AS6" s="51"/>
      <c r="AT6" s="51"/>
      <c r="AU6" s="51"/>
      <c r="AV6" s="51"/>
      <c r="AW6" s="51"/>
      <c r="AX6" s="51"/>
      <c r="AY6" s="51"/>
    </row>
    <row r="7">
      <c r="A7" s="52" t="s">
        <v>67</v>
      </c>
      <c r="B7" s="51">
        <f t="array" ref="B7">SUMPRODUCT(
  'User-Product'!$B7:$J7,
  INDEX('User-Product'!$B$2:$J$43, MATCH(B$1, 'User-Product'!$A$2:$A$43, 0), 0)
)</f>
        <v>1</v>
      </c>
      <c r="C7" s="51">
        <f t="array" ref="C7">SUMPRODUCT(
  'User-Product'!$B7:$J7,
  INDEX('User-Product'!$B$2:$J$43, MATCH(C$1, 'User-Product'!$A$2:$A$43, 0), 0)
)</f>
        <v>1</v>
      </c>
      <c r="D7" s="51">
        <f t="array" ref="D7">SUMPRODUCT(
  'User-Product'!$B7:$J7,
  INDEX('User-Product'!$B$2:$J$43, MATCH(D$1, 'User-Product'!$A$2:$A$43, 0), 0)
)</f>
        <v>1</v>
      </c>
      <c r="E7" s="51">
        <f t="array" ref="E7">SUMPRODUCT(
  'User-Product'!$B7:$J7,
  INDEX('User-Product'!$B$2:$J$43, MATCH(E$1, 'User-Product'!$A$2:$A$43, 0), 0)
)</f>
        <v>0</v>
      </c>
      <c r="F7" s="51">
        <f t="array" ref="F7">SUMPRODUCT(
  'User-Product'!$B7:$J7,
  INDEX('User-Product'!$B$2:$J$43, MATCH(F$1, 'User-Product'!$A$2:$A$43, 0), 0)
)</f>
        <v>2</v>
      </c>
      <c r="G7" s="51">
        <f t="array" ref="G7">SUMPRODUCT(
  'User-Product'!$B7:$J7,
  INDEX('User-Product'!$B$2:$J$43, MATCH(G$1, 'User-Product'!$A$2:$A$43, 0), 0)
)</f>
        <v>2</v>
      </c>
      <c r="H7" s="51">
        <f t="array" ref="H7">SUMPRODUCT(
  'User-Product'!$B7:$J7,
  INDEX('User-Product'!$B$2:$J$43, MATCH(H$1, 'User-Product'!$A$2:$A$43, 0), 0)
)</f>
        <v>2</v>
      </c>
      <c r="I7" s="51">
        <f t="array" ref="I7">SUMPRODUCT(
  'User-Product'!$B7:$J7,
  INDEX('User-Product'!$B$2:$J$43, MATCH(I$1, 'User-Product'!$A$2:$A$43, 0), 0)
)</f>
        <v>1</v>
      </c>
      <c r="J7" s="51">
        <f t="array" ref="J7">SUMPRODUCT(
  'User-Product'!$B7:$J7,
  INDEX('User-Product'!$B$2:$J$43, MATCH(J$1, 'User-Product'!$A$2:$A$43, 0), 0)
)</f>
        <v>2</v>
      </c>
      <c r="K7" s="51">
        <f t="array" ref="K7">SUMPRODUCT(
  'User-Product'!$B7:$J7,
  INDEX('User-Product'!$B$2:$J$43, MATCH(K$1, 'User-Product'!$A$2:$A$43, 0), 0)
)</f>
        <v>2</v>
      </c>
      <c r="L7" s="51">
        <f t="array" ref="L7">SUMPRODUCT(
  'User-Product'!$B7:$J7,
  INDEX('User-Product'!$B$2:$J$43, MATCH(L$1, 'User-Product'!$A$2:$A$43, 0), 0)
)</f>
        <v>1</v>
      </c>
      <c r="M7" s="51">
        <f t="array" ref="M7">SUMPRODUCT(
  'User-Product'!$B7:$J7,
  INDEX('User-Product'!$B$2:$J$43, MATCH(M$1, 'User-Product'!$A$2:$A$43, 0), 0)
)</f>
        <v>0</v>
      </c>
      <c r="N7" s="51">
        <f t="array" ref="N7">SUMPRODUCT(
  'User-Product'!$B7:$J7,
  INDEX('User-Product'!$B$2:$J$43, MATCH(N$1, 'User-Product'!$A$2:$A$43, 0), 0)
)</f>
        <v>1</v>
      </c>
      <c r="O7" s="51">
        <f t="array" ref="O7">SUMPRODUCT(
  'User-Product'!$B7:$J7,
  INDEX('User-Product'!$B$2:$J$43, MATCH(O$1, 'User-Product'!$A$2:$A$43, 0), 0)
)</f>
        <v>1</v>
      </c>
      <c r="P7" s="51">
        <f t="array" ref="P7">SUMPRODUCT(
  'User-Product'!$B7:$J7,
  INDEX('User-Product'!$B$2:$J$43, MATCH(P$1, 'User-Product'!$A$2:$A$43, 0), 0)
)</f>
        <v>0</v>
      </c>
      <c r="Q7" s="51">
        <f t="array" ref="Q7">SUMPRODUCT(
  'User-Product'!$B7:$J7,
  INDEX('User-Product'!$B$2:$J$43, MATCH(Q$1, 'User-Product'!$A$2:$A$43, 0), 0)
)</f>
        <v>0</v>
      </c>
      <c r="R7" s="51">
        <f t="array" ref="R7">SUMPRODUCT(
  'User-Product'!$B7:$J7,
  INDEX('User-Product'!$B$2:$J$43, MATCH(R$1, 'User-Product'!$A$2:$A$43, 0), 0)
)</f>
        <v>1</v>
      </c>
      <c r="S7" s="51">
        <f t="array" ref="S7">SUMPRODUCT(
  'User-Product'!$B7:$J7,
  INDEX('User-Product'!$B$2:$J$43, MATCH(S$1, 'User-Product'!$A$2:$A$43, 0), 0)
)</f>
        <v>0</v>
      </c>
      <c r="T7" s="51">
        <f t="array" ref="T7">SUMPRODUCT(
  'User-Product'!$B7:$J7,
  INDEX('User-Product'!$B$2:$J$43, MATCH(T$1, 'User-Product'!$A$2:$A$43, 0), 0)
)</f>
        <v>0</v>
      </c>
      <c r="U7" s="51">
        <f t="array" ref="U7">SUMPRODUCT(
  'User-Product'!$B7:$J7,
  INDEX('User-Product'!$B$2:$J$43, MATCH(U$1, 'User-Product'!$A$2:$A$43, 0), 0)
)</f>
        <v>1</v>
      </c>
      <c r="V7" s="51">
        <f t="array" ref="V7">SUMPRODUCT(
  'User-Product'!$B7:$J7,
  INDEX('User-Product'!$B$2:$J$43, MATCH(V$1, 'User-Product'!$A$2:$A$43, 0), 0)
)</f>
        <v>0</v>
      </c>
      <c r="W7" s="51">
        <f t="array" ref="W7">SUMPRODUCT(
  'User-Product'!$B7:$J7,
  INDEX('User-Product'!$B$2:$J$43, MATCH(W$1, 'User-Product'!$A$2:$A$43, 0), 0)
)</f>
        <v>0</v>
      </c>
      <c r="X7" s="51">
        <f t="array" ref="X7">SUMPRODUCT(
  'User-Product'!$B7:$J7,
  INDEX('User-Product'!$B$2:$J$43, MATCH(X$1, 'User-Product'!$A$2:$A$43, 0), 0)
)</f>
        <v>0</v>
      </c>
      <c r="Y7" s="51">
        <f t="array" ref="Y7">SUMPRODUCT(
  'User-Product'!$B7:$J7,
  INDEX('User-Product'!$B$2:$J$43, MATCH(Y$1, 'User-Product'!$A$2:$A$43, 0), 0)
)</f>
        <v>2</v>
      </c>
      <c r="Z7" s="51">
        <f t="array" ref="Z7">SUMPRODUCT(
  'User-Product'!$B7:$J7,
  INDEX('User-Product'!$B$2:$J$43, MATCH(Z$1, 'User-Product'!$A$2:$A$43, 0), 0)
)</f>
        <v>0</v>
      </c>
      <c r="AA7" s="51">
        <f t="array" ref="AA7">SUMPRODUCT(
  'User-Product'!$B7:$J7,
  INDEX('User-Product'!$B$2:$J$43, MATCH(AA$1, 'User-Product'!$A$2:$A$43, 0), 0)
)</f>
        <v>0</v>
      </c>
      <c r="AB7" s="51">
        <f t="array" ref="AB7">SUMPRODUCT(
  'User-Product'!$B7:$J7,
  INDEX('User-Product'!$B$2:$J$43, MATCH(AB$1, 'User-Product'!$A$2:$A$43, 0), 0)
)</f>
        <v>2</v>
      </c>
      <c r="AC7" s="51">
        <f t="array" ref="AC7">SUMPRODUCT(
  'User-Product'!$B7:$J7,
  INDEX('User-Product'!$B$2:$J$43, MATCH(AC$1, 'User-Product'!$A$2:$A$43, 0), 0)
)</f>
        <v>1</v>
      </c>
      <c r="AD7" s="51">
        <f t="array" ref="AD7">SUMPRODUCT(
  'User-Product'!$B7:$J7,
  INDEX('User-Product'!$B$2:$J$43, MATCH(AD$1, 'User-Product'!$A$2:$A$43, 0), 0)
)</f>
        <v>2</v>
      </c>
      <c r="AE7" s="51">
        <f t="array" ref="AE7">SUMPRODUCT(
  'User-Product'!$B7:$J7,
  INDEX('User-Product'!$B$2:$J$43, MATCH(AE$1, 'User-Product'!$A$2:$A$43, 0), 0)
)</f>
        <v>1</v>
      </c>
      <c r="AF7" s="51">
        <f t="array" ref="AF7">SUMPRODUCT(
  'User-Product'!$B7:$J7,
  INDEX('User-Product'!$B$2:$J$43, MATCH(AF$1, 'User-Product'!$A$2:$A$43, 0), 0)
)</f>
        <v>2</v>
      </c>
      <c r="AG7" s="51">
        <f t="array" ref="AG7">SUMPRODUCT(
  'User-Product'!$B7:$J7,
  INDEX('User-Product'!$B$2:$J$43, MATCH(AG$1, 'User-Product'!$A$2:$A$43, 0), 0)
)</f>
        <v>0</v>
      </c>
      <c r="AH7" s="51">
        <f t="array" ref="AH7">SUMPRODUCT(
  'User-Product'!$B7:$J7,
  INDEX('User-Product'!$B$2:$J$43, MATCH(AH$1, 'User-Product'!$A$2:$A$43, 0), 0)
)</f>
        <v>1</v>
      </c>
      <c r="AI7" s="51">
        <f t="array" ref="AI7">SUMPRODUCT(
  'User-Product'!$B7:$J7,
  INDEX('User-Product'!$B$2:$J$43, MATCH(AI$1, 'User-Product'!$A$2:$A$43, 0), 0)
)</f>
        <v>1</v>
      </c>
      <c r="AJ7" s="51">
        <f t="array" ref="AJ7">SUMPRODUCT(
  'User-Product'!$B7:$J7,
  INDEX('User-Product'!$B$2:$J$43, MATCH(AJ$1, 'User-Product'!$A$2:$A$43, 0), 0)
)</f>
        <v>0</v>
      </c>
      <c r="AK7" s="51">
        <f t="array" ref="AK7">SUMPRODUCT(
  'User-Product'!$B7:$J7,
  INDEX('User-Product'!$B$2:$J$43, MATCH(AK$1, 'User-Product'!$A$2:$A$43, 0), 0)
)</f>
        <v>0</v>
      </c>
      <c r="AL7" s="51">
        <f t="array" ref="AL7">SUMPRODUCT(
  'User-Product'!$B7:$J7,
  INDEX('User-Product'!$B$2:$J$43, MATCH(AL$1, 'User-Product'!$A$2:$A$43, 0), 0)
)</f>
        <v>1</v>
      </c>
      <c r="AM7" s="51">
        <f t="array" ref="AM7">SUMPRODUCT(
  'User-Product'!$B7:$J7,
  INDEX('User-Product'!$B$2:$J$43, MATCH(AM$1, 'User-Product'!$A$2:$A$43, 0), 0)
)</f>
        <v>0</v>
      </c>
      <c r="AN7" s="51">
        <f t="array" ref="AN7">SUMPRODUCT(
  'User-Product'!$B7:$J7,
  INDEX('User-Product'!$B$2:$J$43, MATCH(AN$1, 'User-Product'!$A$2:$A$43, 0), 0)
)</f>
        <v>2</v>
      </c>
      <c r="AO7" s="51">
        <f t="array" ref="AO7">SUMPRODUCT(
  'User-Product'!$B7:$J7,
  INDEX('User-Product'!$B$2:$J$43, MATCH(AO$1, 'User-Product'!$A$2:$A$43, 0), 0)
)</f>
        <v>0</v>
      </c>
      <c r="AP7" s="51">
        <f t="array" ref="AP7">SUMPRODUCT(
  'User-Product'!$B7:$J7,
  INDEX('User-Product'!$B$2:$J$43, MATCH(AP$1, 'User-Product'!$A$2:$A$43, 0), 0)
)</f>
        <v>1</v>
      </c>
      <c r="AQ7" s="51">
        <f t="array" ref="AQ7">SUMPRODUCT(
  'User-Product'!$B7:$J7,
  INDEX('User-Product'!$B$2:$J$43, MATCH(AQ$1, 'User-Product'!$A$2:$A$43, 0), 0)
)</f>
        <v>2</v>
      </c>
      <c r="AR7" s="51"/>
      <c r="AS7" s="51"/>
      <c r="AT7" s="51"/>
      <c r="AU7" s="51"/>
      <c r="AV7" s="51"/>
      <c r="AW7" s="51"/>
      <c r="AX7" s="51"/>
      <c r="AY7" s="51"/>
    </row>
    <row r="8">
      <c r="A8" s="52" t="s">
        <v>68</v>
      </c>
      <c r="B8" s="51">
        <f t="array" ref="B8">SUMPRODUCT(
  'User-Product'!$B8:$J8,
  INDEX('User-Product'!$B$2:$J$43, MATCH(B$1, 'User-Product'!$A$2:$A$43, 0), 0)
)</f>
        <v>2</v>
      </c>
      <c r="C8" s="51">
        <f t="array" ref="C8">SUMPRODUCT(
  'User-Product'!$B8:$J8,
  INDEX('User-Product'!$B$2:$J$43, MATCH(C$1, 'User-Product'!$A$2:$A$43, 0), 0)
)</f>
        <v>2</v>
      </c>
      <c r="D8" s="51">
        <f t="array" ref="D8">SUMPRODUCT(
  'User-Product'!$B8:$J8,
  INDEX('User-Product'!$B$2:$J$43, MATCH(D$1, 'User-Product'!$A$2:$A$43, 0), 0)
)</f>
        <v>1</v>
      </c>
      <c r="E8" s="51">
        <f t="array" ref="E8">SUMPRODUCT(
  'User-Product'!$B8:$J8,
  INDEX('User-Product'!$B$2:$J$43, MATCH(E$1, 'User-Product'!$A$2:$A$43, 0), 0)
)</f>
        <v>1</v>
      </c>
      <c r="F8" s="51">
        <f t="array" ref="F8">SUMPRODUCT(
  'User-Product'!$B8:$J8,
  INDEX('User-Product'!$B$2:$J$43, MATCH(F$1, 'User-Product'!$A$2:$A$43, 0), 0)
)</f>
        <v>6</v>
      </c>
      <c r="G8" s="51">
        <f t="array" ref="G8">SUMPRODUCT(
  'User-Product'!$B8:$J8,
  INDEX('User-Product'!$B$2:$J$43, MATCH(G$1, 'User-Product'!$A$2:$A$43, 0), 0)
)</f>
        <v>2</v>
      </c>
      <c r="H8" s="51">
        <f t="array" ref="H8">SUMPRODUCT(
  'User-Product'!$B8:$J8,
  INDEX('User-Product'!$B$2:$J$43, MATCH(H$1, 'User-Product'!$A$2:$A$43, 0), 0)
)</f>
        <v>6</v>
      </c>
      <c r="I8" s="51">
        <f t="array" ref="I8">SUMPRODUCT(
  'User-Product'!$B8:$J8,
  INDEX('User-Product'!$B$2:$J$43, MATCH(I$1, 'User-Product'!$A$2:$A$43, 0), 0)
)</f>
        <v>3</v>
      </c>
      <c r="J8" s="51">
        <f t="array" ref="J8">SUMPRODUCT(
  'User-Product'!$B8:$J8,
  INDEX('User-Product'!$B$2:$J$43, MATCH(J$1, 'User-Product'!$A$2:$A$43, 0), 0)
)</f>
        <v>4</v>
      </c>
      <c r="K8" s="51">
        <f t="array" ref="K8">SUMPRODUCT(
  'User-Product'!$B8:$J8,
  INDEX('User-Product'!$B$2:$J$43, MATCH(K$1, 'User-Product'!$A$2:$A$43, 0), 0)
)</f>
        <v>2</v>
      </c>
      <c r="L8" s="51">
        <f t="array" ref="L8">SUMPRODUCT(
  'User-Product'!$B8:$J8,
  INDEX('User-Product'!$B$2:$J$43, MATCH(L$1, 'User-Product'!$A$2:$A$43, 0), 0)
)</f>
        <v>1</v>
      </c>
      <c r="M8" s="51">
        <f t="array" ref="M8">SUMPRODUCT(
  'User-Product'!$B8:$J8,
  INDEX('User-Product'!$B$2:$J$43, MATCH(M$1, 'User-Product'!$A$2:$A$43, 0), 0)
)</f>
        <v>1</v>
      </c>
      <c r="N8" s="51">
        <f t="array" ref="N8">SUMPRODUCT(
  'User-Product'!$B8:$J8,
  INDEX('User-Product'!$B$2:$J$43, MATCH(N$1, 'User-Product'!$A$2:$A$43, 0), 0)
)</f>
        <v>1</v>
      </c>
      <c r="O8" s="51">
        <f t="array" ref="O8">SUMPRODUCT(
  'User-Product'!$B8:$J8,
  INDEX('User-Product'!$B$2:$J$43, MATCH(O$1, 'User-Product'!$A$2:$A$43, 0), 0)
)</f>
        <v>1</v>
      </c>
      <c r="P8" s="51">
        <f t="array" ref="P8">SUMPRODUCT(
  'User-Product'!$B8:$J8,
  INDEX('User-Product'!$B$2:$J$43, MATCH(P$1, 'User-Product'!$A$2:$A$43, 0), 0)
)</f>
        <v>1</v>
      </c>
      <c r="Q8" s="51">
        <f t="array" ref="Q8">SUMPRODUCT(
  'User-Product'!$B8:$J8,
  INDEX('User-Product'!$B$2:$J$43, MATCH(Q$1, 'User-Product'!$A$2:$A$43, 0), 0)
)</f>
        <v>0</v>
      </c>
      <c r="R8" s="51">
        <f t="array" ref="R8">SUMPRODUCT(
  'User-Product'!$B8:$J8,
  INDEX('User-Product'!$B$2:$J$43, MATCH(R$1, 'User-Product'!$A$2:$A$43, 0), 0)
)</f>
        <v>1</v>
      </c>
      <c r="S8" s="51">
        <f t="array" ref="S8">SUMPRODUCT(
  'User-Product'!$B8:$J8,
  INDEX('User-Product'!$B$2:$J$43, MATCH(S$1, 'User-Product'!$A$2:$A$43, 0), 0)
)</f>
        <v>3</v>
      </c>
      <c r="T8" s="51">
        <f t="array" ref="T8">SUMPRODUCT(
  'User-Product'!$B8:$J8,
  INDEX('User-Product'!$B$2:$J$43, MATCH(T$1, 'User-Product'!$A$2:$A$43, 0), 0)
)</f>
        <v>4</v>
      </c>
      <c r="U8" s="51">
        <f t="array" ref="U8">SUMPRODUCT(
  'User-Product'!$B8:$J8,
  INDEX('User-Product'!$B$2:$J$43, MATCH(U$1, 'User-Product'!$A$2:$A$43, 0), 0)
)</f>
        <v>4</v>
      </c>
      <c r="V8" s="51">
        <f t="array" ref="V8">SUMPRODUCT(
  'User-Product'!$B8:$J8,
  INDEX('User-Product'!$B$2:$J$43, MATCH(V$1, 'User-Product'!$A$2:$A$43, 0), 0)
)</f>
        <v>1</v>
      </c>
      <c r="W8" s="51">
        <f t="array" ref="W8">SUMPRODUCT(
  'User-Product'!$B8:$J8,
  INDEX('User-Product'!$B$2:$J$43, MATCH(W$1, 'User-Product'!$A$2:$A$43, 0), 0)
)</f>
        <v>1</v>
      </c>
      <c r="X8" s="51">
        <f t="array" ref="X8">SUMPRODUCT(
  'User-Product'!$B8:$J8,
  INDEX('User-Product'!$B$2:$J$43, MATCH(X$1, 'User-Product'!$A$2:$A$43, 0), 0)
)</f>
        <v>1</v>
      </c>
      <c r="Y8" s="51">
        <f t="array" ref="Y8">SUMPRODUCT(
  'User-Product'!$B8:$J8,
  INDEX('User-Product'!$B$2:$J$43, MATCH(Y$1, 'User-Product'!$A$2:$A$43, 0), 0)
)</f>
        <v>2</v>
      </c>
      <c r="Z8" s="51">
        <f t="array" ref="Z8">SUMPRODUCT(
  'User-Product'!$B8:$J8,
  INDEX('User-Product'!$B$2:$J$43, MATCH(Z$1, 'User-Product'!$A$2:$A$43, 0), 0)
)</f>
        <v>1</v>
      </c>
      <c r="AA8" s="51">
        <f t="array" ref="AA8">SUMPRODUCT(
  'User-Product'!$B8:$J8,
  INDEX('User-Product'!$B$2:$J$43, MATCH(AA$1, 'User-Product'!$A$2:$A$43, 0), 0)
)</f>
        <v>1</v>
      </c>
      <c r="AB8" s="51">
        <f t="array" ref="AB8">SUMPRODUCT(
  'User-Product'!$B8:$J8,
  INDEX('User-Product'!$B$2:$J$43, MATCH(AB$1, 'User-Product'!$A$2:$A$43, 0), 0)
)</f>
        <v>5</v>
      </c>
      <c r="AC8" s="51">
        <f t="array" ref="AC8">SUMPRODUCT(
  'User-Product'!$B8:$J8,
  INDEX('User-Product'!$B$2:$J$43, MATCH(AC$1, 'User-Product'!$A$2:$A$43, 0), 0)
)</f>
        <v>3</v>
      </c>
      <c r="AD8" s="51">
        <f t="array" ref="AD8">SUMPRODUCT(
  'User-Product'!$B8:$J8,
  INDEX('User-Product'!$B$2:$J$43, MATCH(AD$1, 'User-Product'!$A$2:$A$43, 0), 0)
)</f>
        <v>3</v>
      </c>
      <c r="AE8" s="51">
        <f t="array" ref="AE8">SUMPRODUCT(
  'User-Product'!$B8:$J8,
  INDEX('User-Product'!$B$2:$J$43, MATCH(AE$1, 'User-Product'!$A$2:$A$43, 0), 0)
)</f>
        <v>2</v>
      </c>
      <c r="AF8" s="51">
        <f t="array" ref="AF8">SUMPRODUCT(
  'User-Product'!$B8:$J8,
  INDEX('User-Product'!$B$2:$J$43, MATCH(AF$1, 'User-Product'!$A$2:$A$43, 0), 0)
)</f>
        <v>6</v>
      </c>
      <c r="AG8" s="51">
        <f t="array" ref="AG8">SUMPRODUCT(
  'User-Product'!$B8:$J8,
  INDEX('User-Product'!$B$2:$J$43, MATCH(AG$1, 'User-Product'!$A$2:$A$43, 0), 0)
)</f>
        <v>1</v>
      </c>
      <c r="AH8" s="51">
        <f t="array" ref="AH8">SUMPRODUCT(
  'User-Product'!$B8:$J8,
  INDEX('User-Product'!$B$2:$J$43, MATCH(AH$1, 'User-Product'!$A$2:$A$43, 0), 0)
)</f>
        <v>2</v>
      </c>
      <c r="AI8" s="51">
        <f t="array" ref="AI8">SUMPRODUCT(
  'User-Product'!$B8:$J8,
  INDEX('User-Product'!$B$2:$J$43, MATCH(AI$1, 'User-Product'!$A$2:$A$43, 0), 0)
)</f>
        <v>2</v>
      </c>
      <c r="AJ8" s="51">
        <f t="array" ref="AJ8">SUMPRODUCT(
  'User-Product'!$B8:$J8,
  INDEX('User-Product'!$B$2:$J$43, MATCH(AJ$1, 'User-Product'!$A$2:$A$43, 0), 0)
)</f>
        <v>1</v>
      </c>
      <c r="AK8" s="51">
        <f t="array" ref="AK8">SUMPRODUCT(
  'User-Product'!$B8:$J8,
  INDEX('User-Product'!$B$2:$J$43, MATCH(AK$1, 'User-Product'!$A$2:$A$43, 0), 0)
)</f>
        <v>1</v>
      </c>
      <c r="AL8" s="51">
        <f t="array" ref="AL8">SUMPRODUCT(
  'User-Product'!$B8:$J8,
  INDEX('User-Product'!$B$2:$J$43, MATCH(AL$1, 'User-Product'!$A$2:$A$43, 0), 0)
)</f>
        <v>3</v>
      </c>
      <c r="AM8" s="51">
        <f t="array" ref="AM8">SUMPRODUCT(
  'User-Product'!$B8:$J8,
  INDEX('User-Product'!$B$2:$J$43, MATCH(AM$1, 'User-Product'!$A$2:$A$43, 0), 0)
)</f>
        <v>1</v>
      </c>
      <c r="AN8" s="51">
        <f t="array" ref="AN8">SUMPRODUCT(
  'User-Product'!$B8:$J8,
  INDEX('User-Product'!$B$2:$J$43, MATCH(AN$1, 'User-Product'!$A$2:$A$43, 0), 0)
)</f>
        <v>5</v>
      </c>
      <c r="AO8" s="51">
        <f t="array" ref="AO8">SUMPRODUCT(
  'User-Product'!$B8:$J8,
  INDEX('User-Product'!$B$2:$J$43, MATCH(AO$1, 'User-Product'!$A$2:$A$43, 0), 0)
)</f>
        <v>1</v>
      </c>
      <c r="AP8" s="51">
        <f t="array" ref="AP8">SUMPRODUCT(
  'User-Product'!$B8:$J8,
  INDEX('User-Product'!$B$2:$J$43, MATCH(AP$1, 'User-Product'!$A$2:$A$43, 0), 0)
)</f>
        <v>3</v>
      </c>
      <c r="AQ8" s="51">
        <f t="array" ref="AQ8">SUMPRODUCT(
  'User-Product'!$B8:$J8,
  INDEX('User-Product'!$B$2:$J$43, MATCH(AQ$1, 'User-Product'!$A$2:$A$43, 0), 0)
)</f>
        <v>3</v>
      </c>
      <c r="AR8" s="51"/>
      <c r="AS8" s="51"/>
      <c r="AT8" s="51"/>
      <c r="AU8" s="51"/>
      <c r="AV8" s="51"/>
      <c r="AW8" s="51"/>
      <c r="AX8" s="51"/>
      <c r="AY8" s="51"/>
    </row>
    <row r="9">
      <c r="A9" s="52" t="s">
        <v>69</v>
      </c>
      <c r="B9" s="51">
        <f t="array" ref="B9">SUMPRODUCT(
  'User-Product'!$B9:$J9,
  INDEX('User-Product'!$B$2:$J$43, MATCH(B$1, 'User-Product'!$A$2:$A$43, 0), 0)
)</f>
        <v>2</v>
      </c>
      <c r="C9" s="51">
        <f t="array" ref="C9">SUMPRODUCT(
  'User-Product'!$B9:$J9,
  INDEX('User-Product'!$B$2:$J$43, MATCH(C$1, 'User-Product'!$A$2:$A$43, 0), 0)
)</f>
        <v>1</v>
      </c>
      <c r="D9" s="51">
        <f t="array" ref="D9">SUMPRODUCT(
  'User-Product'!$B9:$J9,
  INDEX('User-Product'!$B$2:$J$43, MATCH(D$1, 'User-Product'!$A$2:$A$43, 0), 0)
)</f>
        <v>1</v>
      </c>
      <c r="E9" s="51">
        <f t="array" ref="E9">SUMPRODUCT(
  'User-Product'!$B9:$J9,
  INDEX('User-Product'!$B$2:$J$43, MATCH(E$1, 'User-Product'!$A$2:$A$43, 0), 0)
)</f>
        <v>1</v>
      </c>
      <c r="F9" s="51">
        <f t="array" ref="F9">SUMPRODUCT(
  'User-Product'!$B9:$J9,
  INDEX('User-Product'!$B$2:$J$43, MATCH(F$1, 'User-Product'!$A$2:$A$43, 0), 0)
)</f>
        <v>3</v>
      </c>
      <c r="G9" s="51">
        <f t="array" ref="G9">SUMPRODUCT(
  'User-Product'!$B9:$J9,
  INDEX('User-Product'!$B$2:$J$43, MATCH(G$1, 'User-Product'!$A$2:$A$43, 0), 0)
)</f>
        <v>1</v>
      </c>
      <c r="H9" s="51">
        <f t="array" ref="H9">SUMPRODUCT(
  'User-Product'!$B9:$J9,
  INDEX('User-Product'!$B$2:$J$43, MATCH(H$1, 'User-Product'!$A$2:$A$43, 0), 0)
)</f>
        <v>3</v>
      </c>
      <c r="I9" s="51">
        <f t="array" ref="I9">SUMPRODUCT(
  'User-Product'!$B9:$J9,
  INDEX('User-Product'!$B$2:$J$43, MATCH(I$1, 'User-Product'!$A$2:$A$43, 0), 0)
)</f>
        <v>3</v>
      </c>
      <c r="J9" s="51">
        <f t="array" ref="J9">SUMPRODUCT(
  'User-Product'!$B9:$J9,
  INDEX('User-Product'!$B$2:$J$43, MATCH(J$1, 'User-Product'!$A$2:$A$43, 0), 0)
)</f>
        <v>2</v>
      </c>
      <c r="K9" s="51">
        <f t="array" ref="K9">SUMPRODUCT(
  'User-Product'!$B9:$J9,
  INDEX('User-Product'!$B$2:$J$43, MATCH(K$1, 'User-Product'!$A$2:$A$43, 0), 0)
)</f>
        <v>1</v>
      </c>
      <c r="L9" s="51">
        <f t="array" ref="L9">SUMPRODUCT(
  'User-Product'!$B9:$J9,
  INDEX('User-Product'!$B$2:$J$43, MATCH(L$1, 'User-Product'!$A$2:$A$43, 0), 0)
)</f>
        <v>1</v>
      </c>
      <c r="M9" s="51">
        <f t="array" ref="M9">SUMPRODUCT(
  'User-Product'!$B9:$J9,
  INDEX('User-Product'!$B$2:$J$43, MATCH(M$1, 'User-Product'!$A$2:$A$43, 0), 0)
)</f>
        <v>1</v>
      </c>
      <c r="N9" s="51">
        <f t="array" ref="N9">SUMPRODUCT(
  'User-Product'!$B9:$J9,
  INDEX('User-Product'!$B$2:$J$43, MATCH(N$1, 'User-Product'!$A$2:$A$43, 0), 0)
)</f>
        <v>1</v>
      </c>
      <c r="O9" s="51">
        <f t="array" ref="O9">SUMPRODUCT(
  'User-Product'!$B9:$J9,
  INDEX('User-Product'!$B$2:$J$43, MATCH(O$1, 'User-Product'!$A$2:$A$43, 0), 0)
)</f>
        <v>0</v>
      </c>
      <c r="P9" s="51">
        <f t="array" ref="P9">SUMPRODUCT(
  'User-Product'!$B9:$J9,
  INDEX('User-Product'!$B$2:$J$43, MATCH(P$1, 'User-Product'!$A$2:$A$43, 0), 0)
)</f>
        <v>1</v>
      </c>
      <c r="Q9" s="51">
        <f t="array" ref="Q9">SUMPRODUCT(
  'User-Product'!$B9:$J9,
  INDEX('User-Product'!$B$2:$J$43, MATCH(Q$1, 'User-Product'!$A$2:$A$43, 0), 0)
)</f>
        <v>0</v>
      </c>
      <c r="R9" s="51">
        <f t="array" ref="R9">SUMPRODUCT(
  'User-Product'!$B9:$J9,
  INDEX('User-Product'!$B$2:$J$43, MATCH(R$1, 'User-Product'!$A$2:$A$43, 0), 0)
)</f>
        <v>1</v>
      </c>
      <c r="S9" s="51">
        <f t="array" ref="S9">SUMPRODUCT(
  'User-Product'!$B9:$J9,
  INDEX('User-Product'!$B$2:$J$43, MATCH(S$1, 'User-Product'!$A$2:$A$43, 0), 0)
)</f>
        <v>2</v>
      </c>
      <c r="T9" s="51">
        <f t="array" ref="T9">SUMPRODUCT(
  'User-Product'!$B9:$J9,
  INDEX('User-Product'!$B$2:$J$43, MATCH(T$1, 'User-Product'!$A$2:$A$43, 0), 0)
)</f>
        <v>2</v>
      </c>
      <c r="U9" s="51">
        <f t="array" ref="U9">SUMPRODUCT(
  'User-Product'!$B9:$J9,
  INDEX('User-Product'!$B$2:$J$43, MATCH(U$1, 'User-Product'!$A$2:$A$43, 0), 0)
)</f>
        <v>2</v>
      </c>
      <c r="V9" s="51">
        <f t="array" ref="V9">SUMPRODUCT(
  'User-Product'!$B9:$J9,
  INDEX('User-Product'!$B$2:$J$43, MATCH(V$1, 'User-Product'!$A$2:$A$43, 0), 0)
)</f>
        <v>0</v>
      </c>
      <c r="W9" s="51">
        <f t="array" ref="W9">SUMPRODUCT(
  'User-Product'!$B9:$J9,
  INDEX('User-Product'!$B$2:$J$43, MATCH(W$1, 'User-Product'!$A$2:$A$43, 0), 0)
)</f>
        <v>1</v>
      </c>
      <c r="X9" s="51">
        <f t="array" ref="X9">SUMPRODUCT(
  'User-Product'!$B9:$J9,
  INDEX('User-Product'!$B$2:$J$43, MATCH(X$1, 'User-Product'!$A$2:$A$43, 0), 0)
)</f>
        <v>1</v>
      </c>
      <c r="Y9" s="51">
        <f t="array" ref="Y9">SUMPRODUCT(
  'User-Product'!$B9:$J9,
  INDEX('User-Product'!$B$2:$J$43, MATCH(Y$1, 'User-Product'!$A$2:$A$43, 0), 0)
)</f>
        <v>1</v>
      </c>
      <c r="Z9" s="51">
        <f t="array" ref="Z9">SUMPRODUCT(
  'User-Product'!$B9:$J9,
  INDEX('User-Product'!$B$2:$J$43, MATCH(Z$1, 'User-Product'!$A$2:$A$43, 0), 0)
)</f>
        <v>1</v>
      </c>
      <c r="AA9" s="51">
        <f t="array" ref="AA9">SUMPRODUCT(
  'User-Product'!$B9:$J9,
  INDEX('User-Product'!$B$2:$J$43, MATCH(AA$1, 'User-Product'!$A$2:$A$43, 0), 0)
)</f>
        <v>1</v>
      </c>
      <c r="AB9" s="51">
        <f t="array" ref="AB9">SUMPRODUCT(
  'User-Product'!$B9:$J9,
  INDEX('User-Product'!$B$2:$J$43, MATCH(AB$1, 'User-Product'!$A$2:$A$43, 0), 0)
)</f>
        <v>2</v>
      </c>
      <c r="AC9" s="51">
        <f t="array" ref="AC9">SUMPRODUCT(
  'User-Product'!$B9:$J9,
  INDEX('User-Product'!$B$2:$J$43, MATCH(AC$1, 'User-Product'!$A$2:$A$43, 0), 0)
)</f>
        <v>2</v>
      </c>
      <c r="AD9" s="51">
        <f t="array" ref="AD9">SUMPRODUCT(
  'User-Product'!$B9:$J9,
  INDEX('User-Product'!$B$2:$J$43, MATCH(AD$1, 'User-Product'!$A$2:$A$43, 0), 0)
)</f>
        <v>2</v>
      </c>
      <c r="AE9" s="51">
        <f t="array" ref="AE9">SUMPRODUCT(
  'User-Product'!$B9:$J9,
  INDEX('User-Product'!$B$2:$J$43, MATCH(AE$1, 'User-Product'!$A$2:$A$43, 0), 0)
)</f>
        <v>2</v>
      </c>
      <c r="AF9" s="51">
        <f t="array" ref="AF9">SUMPRODUCT(
  'User-Product'!$B9:$J9,
  INDEX('User-Product'!$B$2:$J$43, MATCH(AF$1, 'User-Product'!$A$2:$A$43, 0), 0)
)</f>
        <v>3</v>
      </c>
      <c r="AG9" s="51">
        <f t="array" ref="AG9">SUMPRODUCT(
  'User-Product'!$B9:$J9,
  INDEX('User-Product'!$B$2:$J$43, MATCH(AG$1, 'User-Product'!$A$2:$A$43, 0), 0)
)</f>
        <v>1</v>
      </c>
      <c r="AH9" s="51">
        <f t="array" ref="AH9">SUMPRODUCT(
  'User-Product'!$B9:$J9,
  INDEX('User-Product'!$B$2:$J$43, MATCH(AH$1, 'User-Product'!$A$2:$A$43, 0), 0)
)</f>
        <v>1</v>
      </c>
      <c r="AI9" s="51">
        <f t="array" ref="AI9">SUMPRODUCT(
  'User-Product'!$B9:$J9,
  INDEX('User-Product'!$B$2:$J$43, MATCH(AI$1, 'User-Product'!$A$2:$A$43, 0), 0)
)</f>
        <v>1</v>
      </c>
      <c r="AJ9" s="51">
        <f t="array" ref="AJ9">SUMPRODUCT(
  'User-Product'!$B9:$J9,
  INDEX('User-Product'!$B$2:$J$43, MATCH(AJ$1, 'User-Product'!$A$2:$A$43, 0), 0)
)</f>
        <v>1</v>
      </c>
      <c r="AK9" s="51">
        <f t="array" ref="AK9">SUMPRODUCT(
  'User-Product'!$B9:$J9,
  INDEX('User-Product'!$B$2:$J$43, MATCH(AK$1, 'User-Product'!$A$2:$A$43, 0), 0)
)</f>
        <v>1</v>
      </c>
      <c r="AL9" s="51">
        <f t="array" ref="AL9">SUMPRODUCT(
  'User-Product'!$B9:$J9,
  INDEX('User-Product'!$B$2:$J$43, MATCH(AL$1, 'User-Product'!$A$2:$A$43, 0), 0)
)</f>
        <v>2</v>
      </c>
      <c r="AM9" s="51">
        <f t="array" ref="AM9">SUMPRODUCT(
  'User-Product'!$B9:$J9,
  INDEX('User-Product'!$B$2:$J$43, MATCH(AM$1, 'User-Product'!$A$2:$A$43, 0), 0)
)</f>
        <v>1</v>
      </c>
      <c r="AN9" s="51">
        <f t="array" ref="AN9">SUMPRODUCT(
  'User-Product'!$B9:$J9,
  INDEX('User-Product'!$B$2:$J$43, MATCH(AN$1, 'User-Product'!$A$2:$A$43, 0), 0)
)</f>
        <v>3</v>
      </c>
      <c r="AO9" s="51">
        <f t="array" ref="AO9">SUMPRODUCT(
  'User-Product'!$B9:$J9,
  INDEX('User-Product'!$B$2:$J$43, MATCH(AO$1, 'User-Product'!$A$2:$A$43, 0), 0)
)</f>
        <v>1</v>
      </c>
      <c r="AP9" s="51">
        <f t="array" ref="AP9">SUMPRODUCT(
  'User-Product'!$B9:$J9,
  INDEX('User-Product'!$B$2:$J$43, MATCH(AP$1, 'User-Product'!$A$2:$A$43, 0), 0)
)</f>
        <v>2</v>
      </c>
      <c r="AQ9" s="51">
        <f t="array" ref="AQ9">SUMPRODUCT(
  'User-Product'!$B9:$J9,
  INDEX('User-Product'!$B$2:$J$43, MATCH(AQ$1, 'User-Product'!$A$2:$A$43, 0), 0)
)</f>
        <v>2</v>
      </c>
      <c r="AR9" s="51"/>
      <c r="AS9" s="51"/>
      <c r="AT9" s="51"/>
      <c r="AU9" s="51"/>
      <c r="AV9" s="51"/>
      <c r="AW9" s="51"/>
      <c r="AX9" s="51"/>
      <c r="AY9" s="51"/>
    </row>
    <row r="10">
      <c r="A10" s="52" t="s">
        <v>70</v>
      </c>
      <c r="B10" s="51">
        <f t="array" ref="B10">SUMPRODUCT(
  'User-Product'!$B10:$J10,
  INDEX('User-Product'!$B$2:$J$43, MATCH(B$1, 'User-Product'!$A$2:$A$43, 0), 0)
)</f>
        <v>2</v>
      </c>
      <c r="C10" s="51">
        <f t="array" ref="C10">SUMPRODUCT(
  'User-Product'!$B10:$J10,
  INDEX('User-Product'!$B$2:$J$43, MATCH(C$1, 'User-Product'!$A$2:$A$43, 0), 0)
)</f>
        <v>1</v>
      </c>
      <c r="D10" s="51">
        <f t="array" ref="D10">SUMPRODUCT(
  'User-Product'!$B10:$J10,
  INDEX('User-Product'!$B$2:$J$43, MATCH(D$1, 'User-Product'!$A$2:$A$43, 0), 0)
)</f>
        <v>2</v>
      </c>
      <c r="E10" s="51">
        <f t="array" ref="E10">SUMPRODUCT(
  'User-Product'!$B10:$J10,
  INDEX('User-Product'!$B$2:$J$43, MATCH(E$1, 'User-Product'!$A$2:$A$43, 0), 0)
)</f>
        <v>1</v>
      </c>
      <c r="F10" s="51">
        <f t="array" ref="F10">SUMPRODUCT(
  'User-Product'!$B10:$J10,
  INDEX('User-Product'!$B$2:$J$43, MATCH(F$1, 'User-Product'!$A$2:$A$43, 0), 0)
)</f>
        <v>6</v>
      </c>
      <c r="G10" s="51">
        <f t="array" ref="G10">SUMPRODUCT(
  'User-Product'!$B10:$J10,
  INDEX('User-Product'!$B$2:$J$43, MATCH(G$1, 'User-Product'!$A$2:$A$43, 0), 0)
)</f>
        <v>2</v>
      </c>
      <c r="H10" s="51">
        <f t="array" ref="H10">SUMPRODUCT(
  'User-Product'!$B10:$J10,
  INDEX('User-Product'!$B$2:$J$43, MATCH(H$1, 'User-Product'!$A$2:$A$43, 0), 0)
)</f>
        <v>4</v>
      </c>
      <c r="I10" s="51">
        <f t="array" ref="I10">SUMPRODUCT(
  'User-Product'!$B10:$J10,
  INDEX('User-Product'!$B$2:$J$43, MATCH(I$1, 'User-Product'!$A$2:$A$43, 0), 0)
)</f>
        <v>2</v>
      </c>
      <c r="J10" s="51">
        <f t="array" ref="J10">SUMPRODUCT(
  'User-Product'!$B10:$J10,
  INDEX('User-Product'!$B$2:$J$43, MATCH(J$1, 'User-Product'!$A$2:$A$43, 0), 0)
)</f>
        <v>6</v>
      </c>
      <c r="K10" s="51">
        <f t="array" ref="K10">SUMPRODUCT(
  'User-Product'!$B10:$J10,
  INDEX('User-Product'!$B$2:$J$43, MATCH(K$1, 'User-Product'!$A$2:$A$43, 0), 0)
)</f>
        <v>3</v>
      </c>
      <c r="L10" s="51">
        <f t="array" ref="L10">SUMPRODUCT(
  'User-Product'!$B10:$J10,
  INDEX('User-Product'!$B$2:$J$43, MATCH(L$1, 'User-Product'!$A$2:$A$43, 0), 0)
)</f>
        <v>1</v>
      </c>
      <c r="M10" s="51">
        <f t="array" ref="M10">SUMPRODUCT(
  'User-Product'!$B10:$J10,
  INDEX('User-Product'!$B$2:$J$43, MATCH(M$1, 'User-Product'!$A$2:$A$43, 0), 0)
)</f>
        <v>0</v>
      </c>
      <c r="N10" s="51">
        <f t="array" ref="N10">SUMPRODUCT(
  'User-Product'!$B10:$J10,
  INDEX('User-Product'!$B$2:$J$43, MATCH(N$1, 'User-Product'!$A$2:$A$43, 0), 0)
)</f>
        <v>1</v>
      </c>
      <c r="O10" s="51">
        <f t="array" ref="O10">SUMPRODUCT(
  'User-Product'!$B10:$J10,
  INDEX('User-Product'!$B$2:$J$43, MATCH(O$1, 'User-Product'!$A$2:$A$43, 0), 0)
)</f>
        <v>2</v>
      </c>
      <c r="P10" s="51">
        <f t="array" ref="P10">SUMPRODUCT(
  'User-Product'!$B10:$J10,
  INDEX('User-Product'!$B$2:$J$43, MATCH(P$1, 'User-Product'!$A$2:$A$43, 0), 0)
)</f>
        <v>2</v>
      </c>
      <c r="Q10" s="51">
        <f t="array" ref="Q10">SUMPRODUCT(
  'User-Product'!$B10:$J10,
  INDEX('User-Product'!$B$2:$J$43, MATCH(Q$1, 'User-Product'!$A$2:$A$43, 0), 0)
)</f>
        <v>1</v>
      </c>
      <c r="R10" s="51">
        <f t="array" ref="R10">SUMPRODUCT(
  'User-Product'!$B10:$J10,
  INDEX('User-Product'!$B$2:$J$43, MATCH(R$1, 'User-Product'!$A$2:$A$43, 0), 0)
)</f>
        <v>2</v>
      </c>
      <c r="S10" s="51">
        <f t="array" ref="S10">SUMPRODUCT(
  'User-Product'!$B10:$J10,
  INDEX('User-Product'!$B$2:$J$43, MATCH(S$1, 'User-Product'!$A$2:$A$43, 0), 0)
)</f>
        <v>2</v>
      </c>
      <c r="T10" s="51">
        <f t="array" ref="T10">SUMPRODUCT(
  'User-Product'!$B10:$J10,
  INDEX('User-Product'!$B$2:$J$43, MATCH(T$1, 'User-Product'!$A$2:$A$43, 0), 0)
)</f>
        <v>3</v>
      </c>
      <c r="U10" s="51">
        <f t="array" ref="U10">SUMPRODUCT(
  'User-Product'!$B10:$J10,
  INDEX('User-Product'!$B$2:$J$43, MATCH(U$1, 'User-Product'!$A$2:$A$43, 0), 0)
)</f>
        <v>3</v>
      </c>
      <c r="V10" s="51">
        <f t="array" ref="V10">SUMPRODUCT(
  'User-Product'!$B10:$J10,
  INDEX('User-Product'!$B$2:$J$43, MATCH(V$1, 'User-Product'!$A$2:$A$43, 0), 0)
)</f>
        <v>0</v>
      </c>
      <c r="W10" s="51">
        <f t="array" ref="W10">SUMPRODUCT(
  'User-Product'!$B10:$J10,
  INDEX('User-Product'!$B$2:$J$43, MATCH(W$1, 'User-Product'!$A$2:$A$43, 0), 0)
)</f>
        <v>0</v>
      </c>
      <c r="X10" s="51">
        <f t="array" ref="X10">SUMPRODUCT(
  'User-Product'!$B10:$J10,
  INDEX('User-Product'!$B$2:$J$43, MATCH(X$1, 'User-Product'!$A$2:$A$43, 0), 0)
)</f>
        <v>0</v>
      </c>
      <c r="Y10" s="51">
        <f t="array" ref="Y10">SUMPRODUCT(
  'User-Product'!$B10:$J10,
  INDEX('User-Product'!$B$2:$J$43, MATCH(Y$1, 'User-Product'!$A$2:$A$43, 0), 0)
)</f>
        <v>3</v>
      </c>
      <c r="Z10" s="51">
        <f t="array" ref="Z10">SUMPRODUCT(
  'User-Product'!$B10:$J10,
  INDEX('User-Product'!$B$2:$J$43, MATCH(Z$1, 'User-Product'!$A$2:$A$43, 0), 0)
)</f>
        <v>0</v>
      </c>
      <c r="AA10" s="51">
        <f t="array" ref="AA10">SUMPRODUCT(
  'User-Product'!$B10:$J10,
  INDEX('User-Product'!$B$2:$J$43, MATCH(AA$1, 'User-Product'!$A$2:$A$43, 0), 0)
)</f>
        <v>0</v>
      </c>
      <c r="AB10" s="51">
        <f t="array" ref="AB10">SUMPRODUCT(
  'User-Product'!$B10:$J10,
  INDEX('User-Product'!$B$2:$J$43, MATCH(AB$1, 'User-Product'!$A$2:$A$43, 0), 0)
)</f>
        <v>4</v>
      </c>
      <c r="AC10" s="51">
        <f t="array" ref="AC10">SUMPRODUCT(
  'User-Product'!$B10:$J10,
  INDEX('User-Product'!$B$2:$J$43, MATCH(AC$1, 'User-Product'!$A$2:$A$43, 0), 0)
)</f>
        <v>2</v>
      </c>
      <c r="AD10" s="51">
        <f t="array" ref="AD10">SUMPRODUCT(
  'User-Product'!$B10:$J10,
  INDEX('User-Product'!$B$2:$J$43, MATCH(AD$1, 'User-Product'!$A$2:$A$43, 0), 0)
)</f>
        <v>4</v>
      </c>
      <c r="AE10" s="51">
        <f t="array" ref="AE10">SUMPRODUCT(
  'User-Product'!$B10:$J10,
  INDEX('User-Product'!$B$2:$J$43, MATCH(AE$1, 'User-Product'!$A$2:$A$43, 0), 0)
)</f>
        <v>2</v>
      </c>
      <c r="AF10" s="51">
        <f t="array" ref="AF10">SUMPRODUCT(
  'User-Product'!$B10:$J10,
  INDEX('User-Product'!$B$2:$J$43, MATCH(AF$1, 'User-Product'!$A$2:$A$43, 0), 0)
)</f>
        <v>6</v>
      </c>
      <c r="AG10" s="51">
        <f t="array" ref="AG10">SUMPRODUCT(
  'User-Product'!$B10:$J10,
  INDEX('User-Product'!$B$2:$J$43, MATCH(AG$1, 'User-Product'!$A$2:$A$43, 0), 0)
)</f>
        <v>2</v>
      </c>
      <c r="AH10" s="51">
        <f t="array" ref="AH10">SUMPRODUCT(
  'User-Product'!$B10:$J10,
  INDEX('User-Product'!$B$2:$J$43, MATCH(AH$1, 'User-Product'!$A$2:$A$43, 0), 0)
)</f>
        <v>3</v>
      </c>
      <c r="AI10" s="51">
        <f t="array" ref="AI10">SUMPRODUCT(
  'User-Product'!$B10:$J10,
  INDEX('User-Product'!$B$2:$J$43, MATCH(AI$1, 'User-Product'!$A$2:$A$43, 0), 0)
)</f>
        <v>3</v>
      </c>
      <c r="AJ10" s="51">
        <f t="array" ref="AJ10">SUMPRODUCT(
  'User-Product'!$B10:$J10,
  INDEX('User-Product'!$B$2:$J$43, MATCH(AJ$1, 'User-Product'!$A$2:$A$43, 0), 0)
)</f>
        <v>1</v>
      </c>
      <c r="AK10" s="51">
        <f t="array" ref="AK10">SUMPRODUCT(
  'User-Product'!$B10:$J10,
  INDEX('User-Product'!$B$2:$J$43, MATCH(AK$1, 'User-Product'!$A$2:$A$43, 0), 0)
)</f>
        <v>0</v>
      </c>
      <c r="AL10" s="51">
        <f t="array" ref="AL10">SUMPRODUCT(
  'User-Product'!$B10:$J10,
  INDEX('User-Product'!$B$2:$J$43, MATCH(AL$1, 'User-Product'!$A$2:$A$43, 0), 0)
)</f>
        <v>2</v>
      </c>
      <c r="AM10" s="51">
        <f t="array" ref="AM10">SUMPRODUCT(
  'User-Product'!$B10:$J10,
  INDEX('User-Product'!$B$2:$J$43, MATCH(AM$1, 'User-Product'!$A$2:$A$43, 0), 0)
)</f>
        <v>0</v>
      </c>
      <c r="AN10" s="51">
        <f t="array" ref="AN10">SUMPRODUCT(
  'User-Product'!$B10:$J10,
  INDEX('User-Product'!$B$2:$J$43, MATCH(AN$1, 'User-Product'!$A$2:$A$43, 0), 0)
)</f>
        <v>6</v>
      </c>
      <c r="AO10" s="51">
        <f t="array" ref="AO10">SUMPRODUCT(
  'User-Product'!$B10:$J10,
  INDEX('User-Product'!$B$2:$J$43, MATCH(AO$1, 'User-Product'!$A$2:$A$43, 0), 0)
)</f>
        <v>1</v>
      </c>
      <c r="AP10" s="51">
        <f t="array" ref="AP10">SUMPRODUCT(
  'User-Product'!$B10:$J10,
  INDEX('User-Product'!$B$2:$J$43, MATCH(AP$1, 'User-Product'!$A$2:$A$43, 0), 0)
)</f>
        <v>1</v>
      </c>
      <c r="AQ10" s="51">
        <f t="array" ref="AQ10">SUMPRODUCT(
  'User-Product'!$B10:$J10,
  INDEX('User-Product'!$B$2:$J$43, MATCH(AQ$1, 'User-Product'!$A$2:$A$43, 0), 0)
)</f>
        <v>5</v>
      </c>
      <c r="AR10" s="51"/>
      <c r="AS10" s="51"/>
      <c r="AT10" s="51"/>
      <c r="AU10" s="51"/>
      <c r="AV10" s="51"/>
      <c r="AW10" s="51"/>
      <c r="AX10" s="51"/>
      <c r="AY10" s="51"/>
    </row>
    <row r="11">
      <c r="A11" s="52" t="s">
        <v>71</v>
      </c>
      <c r="B11" s="51">
        <f t="array" ref="B11">SUMPRODUCT(
  'User-Product'!$B11:$J11,
  INDEX('User-Product'!$B$2:$J$43, MATCH(B$1, 'User-Product'!$A$2:$A$43, 0), 0)
)</f>
        <v>2</v>
      </c>
      <c r="C11" s="51">
        <f t="array" ref="C11">SUMPRODUCT(
  'User-Product'!$B11:$J11,
  INDEX('User-Product'!$B$2:$J$43, MATCH(C$1, 'User-Product'!$A$2:$A$43, 0), 0)
)</f>
        <v>1</v>
      </c>
      <c r="D11" s="51">
        <f t="array" ref="D11">SUMPRODUCT(
  'User-Product'!$B11:$J11,
  INDEX('User-Product'!$B$2:$J$43, MATCH(D$1, 'User-Product'!$A$2:$A$43, 0), 0)
)</f>
        <v>1</v>
      </c>
      <c r="E11" s="51">
        <f t="array" ref="E11">SUMPRODUCT(
  'User-Product'!$B11:$J11,
  INDEX('User-Product'!$B$2:$J$43, MATCH(E$1, 'User-Product'!$A$2:$A$43, 0), 0)
)</f>
        <v>0</v>
      </c>
      <c r="F11" s="51">
        <f t="array" ref="F11">SUMPRODUCT(
  'User-Product'!$B11:$J11,
  INDEX('User-Product'!$B$2:$J$43, MATCH(F$1, 'User-Product'!$A$2:$A$43, 0), 0)
)</f>
        <v>3</v>
      </c>
      <c r="G11" s="51">
        <f t="array" ref="G11">SUMPRODUCT(
  'User-Product'!$B11:$J11,
  INDEX('User-Product'!$B$2:$J$43, MATCH(G$1, 'User-Product'!$A$2:$A$43, 0), 0)
)</f>
        <v>2</v>
      </c>
      <c r="H11" s="51">
        <f t="array" ref="H11">SUMPRODUCT(
  'User-Product'!$B11:$J11,
  INDEX('User-Product'!$B$2:$J$43, MATCH(H$1, 'User-Product'!$A$2:$A$43, 0), 0)
)</f>
        <v>2</v>
      </c>
      <c r="I11" s="51">
        <f t="array" ref="I11">SUMPRODUCT(
  'User-Product'!$B11:$J11,
  INDEX('User-Product'!$B$2:$J$43, MATCH(I$1, 'User-Product'!$A$2:$A$43, 0), 0)
)</f>
        <v>1</v>
      </c>
      <c r="J11" s="51">
        <f t="array" ref="J11">SUMPRODUCT(
  'User-Product'!$B11:$J11,
  INDEX('User-Product'!$B$2:$J$43, MATCH(J$1, 'User-Product'!$A$2:$A$43, 0), 0)
)</f>
        <v>3</v>
      </c>
      <c r="K11" s="51">
        <f t="array" ref="K11">SUMPRODUCT(
  'User-Product'!$B11:$J11,
  INDEX('User-Product'!$B$2:$J$43, MATCH(K$1, 'User-Product'!$A$2:$A$43, 0), 0)
)</f>
        <v>3</v>
      </c>
      <c r="L11" s="51">
        <f t="array" ref="L11">SUMPRODUCT(
  'User-Product'!$B11:$J11,
  INDEX('User-Product'!$B$2:$J$43, MATCH(L$1, 'User-Product'!$A$2:$A$43, 0), 0)
)</f>
        <v>1</v>
      </c>
      <c r="M11" s="51">
        <f t="array" ref="M11">SUMPRODUCT(
  'User-Product'!$B11:$J11,
  INDEX('User-Product'!$B$2:$J$43, MATCH(M$1, 'User-Product'!$A$2:$A$43, 0), 0)
)</f>
        <v>0</v>
      </c>
      <c r="N11" s="51">
        <f t="array" ref="N11">SUMPRODUCT(
  'User-Product'!$B11:$J11,
  INDEX('User-Product'!$B$2:$J$43, MATCH(N$1, 'User-Product'!$A$2:$A$43, 0), 0)
)</f>
        <v>1</v>
      </c>
      <c r="O11" s="51">
        <f t="array" ref="O11">SUMPRODUCT(
  'User-Product'!$B11:$J11,
  INDEX('User-Product'!$B$2:$J$43, MATCH(O$1, 'User-Product'!$A$2:$A$43, 0), 0)
)</f>
        <v>2</v>
      </c>
      <c r="P11" s="51">
        <f t="array" ref="P11">SUMPRODUCT(
  'User-Product'!$B11:$J11,
  INDEX('User-Product'!$B$2:$J$43, MATCH(P$1, 'User-Product'!$A$2:$A$43, 0), 0)
)</f>
        <v>0</v>
      </c>
      <c r="Q11" s="51">
        <f t="array" ref="Q11">SUMPRODUCT(
  'User-Product'!$B11:$J11,
  INDEX('User-Product'!$B$2:$J$43, MATCH(Q$1, 'User-Product'!$A$2:$A$43, 0), 0)
)</f>
        <v>0</v>
      </c>
      <c r="R11" s="51">
        <f t="array" ref="R11">SUMPRODUCT(
  'User-Product'!$B11:$J11,
  INDEX('User-Product'!$B$2:$J$43, MATCH(R$1, 'User-Product'!$A$2:$A$43, 0), 0)
)</f>
        <v>1</v>
      </c>
      <c r="S11" s="51">
        <f t="array" ref="S11">SUMPRODUCT(
  'User-Product'!$B11:$J11,
  INDEX('User-Product'!$B$2:$J$43, MATCH(S$1, 'User-Product'!$A$2:$A$43, 0), 0)
)</f>
        <v>0</v>
      </c>
      <c r="T11" s="51">
        <f t="array" ref="T11">SUMPRODUCT(
  'User-Product'!$B11:$J11,
  INDEX('User-Product'!$B$2:$J$43, MATCH(T$1, 'User-Product'!$A$2:$A$43, 0), 0)
)</f>
        <v>1</v>
      </c>
      <c r="U11" s="51">
        <f t="array" ref="U11">SUMPRODUCT(
  'User-Product'!$B11:$J11,
  INDEX('User-Product'!$B$2:$J$43, MATCH(U$1, 'User-Product'!$A$2:$A$43, 0), 0)
)</f>
        <v>1</v>
      </c>
      <c r="V11" s="51">
        <f t="array" ref="V11">SUMPRODUCT(
  'User-Product'!$B11:$J11,
  INDEX('User-Product'!$B$2:$J$43, MATCH(V$1, 'User-Product'!$A$2:$A$43, 0), 0)
)</f>
        <v>0</v>
      </c>
      <c r="W11" s="51">
        <f t="array" ref="W11">SUMPRODUCT(
  'User-Product'!$B11:$J11,
  INDEX('User-Product'!$B$2:$J$43, MATCH(W$1, 'User-Product'!$A$2:$A$43, 0), 0)
)</f>
        <v>0</v>
      </c>
      <c r="X11" s="51">
        <f t="array" ref="X11">SUMPRODUCT(
  'User-Product'!$B11:$J11,
  INDEX('User-Product'!$B$2:$J$43, MATCH(X$1, 'User-Product'!$A$2:$A$43, 0), 0)
)</f>
        <v>0</v>
      </c>
      <c r="Y11" s="51">
        <f t="array" ref="Y11">SUMPRODUCT(
  'User-Product'!$B11:$J11,
  INDEX('User-Product'!$B$2:$J$43, MATCH(Y$1, 'User-Product'!$A$2:$A$43, 0), 0)
)</f>
        <v>3</v>
      </c>
      <c r="Z11" s="51">
        <f t="array" ref="Z11">SUMPRODUCT(
  'User-Product'!$B11:$J11,
  INDEX('User-Product'!$B$2:$J$43, MATCH(Z$1, 'User-Product'!$A$2:$A$43, 0), 0)
)</f>
        <v>0</v>
      </c>
      <c r="AA11" s="51">
        <f t="array" ref="AA11">SUMPRODUCT(
  'User-Product'!$B11:$J11,
  INDEX('User-Product'!$B$2:$J$43, MATCH(AA$1, 'User-Product'!$A$2:$A$43, 0), 0)
)</f>
        <v>0</v>
      </c>
      <c r="AB11" s="51">
        <f t="array" ref="AB11">SUMPRODUCT(
  'User-Product'!$B11:$J11,
  INDEX('User-Product'!$B$2:$J$43, MATCH(AB$1, 'User-Product'!$A$2:$A$43, 0), 0)
)</f>
        <v>3</v>
      </c>
      <c r="AC11" s="51">
        <f t="array" ref="AC11">SUMPRODUCT(
  'User-Product'!$B11:$J11,
  INDEX('User-Product'!$B$2:$J$43, MATCH(AC$1, 'User-Product'!$A$2:$A$43, 0), 0)
)</f>
        <v>1</v>
      </c>
      <c r="AD11" s="51">
        <f t="array" ref="AD11">SUMPRODUCT(
  'User-Product'!$B11:$J11,
  INDEX('User-Product'!$B$2:$J$43, MATCH(AD$1, 'User-Product'!$A$2:$A$43, 0), 0)
)</f>
        <v>2</v>
      </c>
      <c r="AE11" s="51">
        <f t="array" ref="AE11">SUMPRODUCT(
  'User-Product'!$B11:$J11,
  INDEX('User-Product'!$B$2:$J$43, MATCH(AE$1, 'User-Product'!$A$2:$A$43, 0), 0)
)</f>
        <v>2</v>
      </c>
      <c r="AF11" s="51">
        <f t="array" ref="AF11">SUMPRODUCT(
  'User-Product'!$B11:$J11,
  INDEX('User-Product'!$B$2:$J$43, MATCH(AF$1, 'User-Product'!$A$2:$A$43, 0), 0)
)</f>
        <v>3</v>
      </c>
      <c r="AG11" s="51">
        <f t="array" ref="AG11">SUMPRODUCT(
  'User-Product'!$B11:$J11,
  INDEX('User-Product'!$B$2:$J$43, MATCH(AG$1, 'User-Product'!$A$2:$A$43, 0), 0)
)</f>
        <v>0</v>
      </c>
      <c r="AH11" s="51">
        <f t="array" ref="AH11">SUMPRODUCT(
  'User-Product'!$B11:$J11,
  INDEX('User-Product'!$B$2:$J$43, MATCH(AH$1, 'User-Product'!$A$2:$A$43, 0), 0)
)</f>
        <v>2</v>
      </c>
      <c r="AI11" s="51">
        <f t="array" ref="AI11">SUMPRODUCT(
  'User-Product'!$B11:$J11,
  INDEX('User-Product'!$B$2:$J$43, MATCH(AI$1, 'User-Product'!$A$2:$A$43, 0), 0)
)</f>
        <v>2</v>
      </c>
      <c r="AJ11" s="51">
        <f t="array" ref="AJ11">SUMPRODUCT(
  'User-Product'!$B11:$J11,
  INDEX('User-Product'!$B$2:$J$43, MATCH(AJ$1, 'User-Product'!$A$2:$A$43, 0), 0)
)</f>
        <v>0</v>
      </c>
      <c r="AK11" s="51">
        <f t="array" ref="AK11">SUMPRODUCT(
  'User-Product'!$B11:$J11,
  INDEX('User-Product'!$B$2:$J$43, MATCH(AK$1, 'User-Product'!$A$2:$A$43, 0), 0)
)</f>
        <v>0</v>
      </c>
      <c r="AL11" s="51">
        <f t="array" ref="AL11">SUMPRODUCT(
  'User-Product'!$B11:$J11,
  INDEX('User-Product'!$B$2:$J$43, MATCH(AL$1, 'User-Product'!$A$2:$A$43, 0), 0)
)</f>
        <v>2</v>
      </c>
      <c r="AM11" s="51">
        <f t="array" ref="AM11">SUMPRODUCT(
  'User-Product'!$B11:$J11,
  INDEX('User-Product'!$B$2:$J$43, MATCH(AM$1, 'User-Product'!$A$2:$A$43, 0), 0)
)</f>
        <v>0</v>
      </c>
      <c r="AN11" s="51">
        <f t="array" ref="AN11">SUMPRODUCT(
  'User-Product'!$B11:$J11,
  INDEX('User-Product'!$B$2:$J$43, MATCH(AN$1, 'User-Product'!$A$2:$A$43, 0), 0)
)</f>
        <v>3</v>
      </c>
      <c r="AO11" s="51">
        <f t="array" ref="AO11">SUMPRODUCT(
  'User-Product'!$B11:$J11,
  INDEX('User-Product'!$B$2:$J$43, MATCH(AO$1, 'User-Product'!$A$2:$A$43, 0), 0)
)</f>
        <v>0</v>
      </c>
      <c r="AP11" s="51">
        <f t="array" ref="AP11">SUMPRODUCT(
  'User-Product'!$B11:$J11,
  INDEX('User-Product'!$B$2:$J$43, MATCH(AP$1, 'User-Product'!$A$2:$A$43, 0), 0)
)</f>
        <v>1</v>
      </c>
      <c r="AQ11" s="51">
        <f t="array" ref="AQ11">SUMPRODUCT(
  'User-Product'!$B11:$J11,
  INDEX('User-Product'!$B$2:$J$43, MATCH(AQ$1, 'User-Product'!$A$2:$A$43, 0), 0)
)</f>
        <v>3</v>
      </c>
      <c r="AR11" s="51"/>
      <c r="AS11" s="51"/>
      <c r="AT11" s="51"/>
      <c r="AU11" s="51"/>
      <c r="AV11" s="51"/>
      <c r="AW11" s="51"/>
      <c r="AX11" s="51"/>
      <c r="AY11" s="51"/>
    </row>
    <row r="12">
      <c r="A12" s="52" t="s">
        <v>72</v>
      </c>
      <c r="B12" s="51">
        <f t="array" ref="B12">SUMPRODUCT(
  'User-Product'!$B12:$J12,
  INDEX('User-Product'!$B$2:$J$43, MATCH(B$1, 'User-Product'!$A$2:$A$43, 0), 0)
)</f>
        <v>1</v>
      </c>
      <c r="C12" s="51">
        <f t="array" ref="C12">SUMPRODUCT(
  'User-Product'!$B12:$J12,
  INDEX('User-Product'!$B$2:$J$43, MATCH(C$1, 'User-Product'!$A$2:$A$43, 0), 0)
)</f>
        <v>0</v>
      </c>
      <c r="D12" s="51">
        <f t="array" ref="D12">SUMPRODUCT(
  'User-Product'!$B12:$J12,
  INDEX('User-Product'!$B$2:$J$43, MATCH(D$1, 'User-Product'!$A$2:$A$43, 0), 0)
)</f>
        <v>1</v>
      </c>
      <c r="E12" s="51">
        <f t="array" ref="E12">SUMPRODUCT(
  'User-Product'!$B12:$J12,
  INDEX('User-Product'!$B$2:$J$43, MATCH(E$1, 'User-Product'!$A$2:$A$43, 0), 0)
)</f>
        <v>0</v>
      </c>
      <c r="F12" s="51">
        <f t="array" ref="F12">SUMPRODUCT(
  'User-Product'!$B12:$J12,
  INDEX('User-Product'!$B$2:$J$43, MATCH(F$1, 'User-Product'!$A$2:$A$43, 0), 0)
)</f>
        <v>1</v>
      </c>
      <c r="G12" s="51">
        <f t="array" ref="G12">SUMPRODUCT(
  'User-Product'!$B12:$J12,
  INDEX('User-Product'!$B$2:$J$43, MATCH(G$1, 'User-Product'!$A$2:$A$43, 0), 0)
)</f>
        <v>1</v>
      </c>
      <c r="H12" s="51">
        <f t="array" ref="H12">SUMPRODUCT(
  'User-Product'!$B12:$J12,
  INDEX('User-Product'!$B$2:$J$43, MATCH(H$1, 'User-Product'!$A$2:$A$43, 0), 0)
)</f>
        <v>1</v>
      </c>
      <c r="I12" s="51">
        <f t="array" ref="I12">SUMPRODUCT(
  'User-Product'!$B12:$J12,
  INDEX('User-Product'!$B$2:$J$43, MATCH(I$1, 'User-Product'!$A$2:$A$43, 0), 0)
)</f>
        <v>1</v>
      </c>
      <c r="J12" s="51">
        <f t="array" ref="J12">SUMPRODUCT(
  'User-Product'!$B12:$J12,
  INDEX('User-Product'!$B$2:$J$43, MATCH(J$1, 'User-Product'!$A$2:$A$43, 0), 0)
)</f>
        <v>1</v>
      </c>
      <c r="K12" s="51">
        <f t="array" ref="K12">SUMPRODUCT(
  'User-Product'!$B12:$J12,
  INDEX('User-Product'!$B$2:$J$43, MATCH(K$1, 'User-Product'!$A$2:$A$43, 0), 0)
)</f>
        <v>1</v>
      </c>
      <c r="L12" s="51">
        <f t="array" ref="L12">SUMPRODUCT(
  'User-Product'!$B12:$J12,
  INDEX('User-Product'!$B$2:$J$43, MATCH(L$1, 'User-Product'!$A$2:$A$43, 0), 0)
)</f>
        <v>1</v>
      </c>
      <c r="M12" s="51">
        <f t="array" ref="M12">SUMPRODUCT(
  'User-Product'!$B12:$J12,
  INDEX('User-Product'!$B$2:$J$43, MATCH(M$1, 'User-Product'!$A$2:$A$43, 0), 0)
)</f>
        <v>0</v>
      </c>
      <c r="N12" s="51">
        <f t="array" ref="N12">SUMPRODUCT(
  'User-Product'!$B12:$J12,
  INDEX('User-Product'!$B$2:$J$43, MATCH(N$1, 'User-Product'!$A$2:$A$43, 0), 0)
)</f>
        <v>1</v>
      </c>
      <c r="O12" s="51">
        <f t="array" ref="O12">SUMPRODUCT(
  'User-Product'!$B12:$J12,
  INDEX('User-Product'!$B$2:$J$43, MATCH(O$1, 'User-Product'!$A$2:$A$43, 0), 0)
)</f>
        <v>0</v>
      </c>
      <c r="P12" s="51">
        <f t="array" ref="P12">SUMPRODUCT(
  'User-Product'!$B12:$J12,
  INDEX('User-Product'!$B$2:$J$43, MATCH(P$1, 'User-Product'!$A$2:$A$43, 0), 0)
)</f>
        <v>0</v>
      </c>
      <c r="Q12" s="51">
        <f t="array" ref="Q12">SUMPRODUCT(
  'User-Product'!$B12:$J12,
  INDEX('User-Product'!$B$2:$J$43, MATCH(Q$1, 'User-Product'!$A$2:$A$43, 0), 0)
)</f>
        <v>0</v>
      </c>
      <c r="R12" s="51">
        <f t="array" ref="R12">SUMPRODUCT(
  'User-Product'!$B12:$J12,
  INDEX('User-Product'!$B$2:$J$43, MATCH(R$1, 'User-Product'!$A$2:$A$43, 0), 0)
)</f>
        <v>1</v>
      </c>
      <c r="S12" s="51">
        <f t="array" ref="S12">SUMPRODUCT(
  'User-Product'!$B12:$J12,
  INDEX('User-Product'!$B$2:$J$43, MATCH(S$1, 'User-Product'!$A$2:$A$43, 0), 0)
)</f>
        <v>0</v>
      </c>
      <c r="T12" s="51">
        <f t="array" ref="T12">SUMPRODUCT(
  'User-Product'!$B12:$J12,
  INDEX('User-Product'!$B$2:$J$43, MATCH(T$1, 'User-Product'!$A$2:$A$43, 0), 0)
)</f>
        <v>0</v>
      </c>
      <c r="U12" s="51">
        <f t="array" ref="U12">SUMPRODUCT(
  'User-Product'!$B12:$J12,
  INDEX('User-Product'!$B$2:$J$43, MATCH(U$1, 'User-Product'!$A$2:$A$43, 0), 0)
)</f>
        <v>0</v>
      </c>
      <c r="V12" s="51">
        <f t="array" ref="V12">SUMPRODUCT(
  'User-Product'!$B12:$J12,
  INDEX('User-Product'!$B$2:$J$43, MATCH(V$1, 'User-Product'!$A$2:$A$43, 0), 0)
)</f>
        <v>0</v>
      </c>
      <c r="W12" s="51">
        <f t="array" ref="W12">SUMPRODUCT(
  'User-Product'!$B12:$J12,
  INDEX('User-Product'!$B$2:$J$43, MATCH(W$1, 'User-Product'!$A$2:$A$43, 0), 0)
)</f>
        <v>0</v>
      </c>
      <c r="X12" s="51">
        <f t="array" ref="X12">SUMPRODUCT(
  'User-Product'!$B12:$J12,
  INDEX('User-Product'!$B$2:$J$43, MATCH(X$1, 'User-Product'!$A$2:$A$43, 0), 0)
)</f>
        <v>0</v>
      </c>
      <c r="Y12" s="51">
        <f t="array" ref="Y12">SUMPRODUCT(
  'User-Product'!$B12:$J12,
  INDEX('User-Product'!$B$2:$J$43, MATCH(Y$1, 'User-Product'!$A$2:$A$43, 0), 0)
)</f>
        <v>1</v>
      </c>
      <c r="Z12" s="51">
        <f t="array" ref="Z12">SUMPRODUCT(
  'User-Product'!$B12:$J12,
  INDEX('User-Product'!$B$2:$J$43, MATCH(Z$1, 'User-Product'!$A$2:$A$43, 0), 0)
)</f>
        <v>0</v>
      </c>
      <c r="AA12" s="51">
        <f t="array" ref="AA12">SUMPRODUCT(
  'User-Product'!$B12:$J12,
  INDEX('User-Product'!$B$2:$J$43, MATCH(AA$1, 'User-Product'!$A$2:$A$43, 0), 0)
)</f>
        <v>0</v>
      </c>
      <c r="AB12" s="51">
        <f t="array" ref="AB12">SUMPRODUCT(
  'User-Product'!$B12:$J12,
  INDEX('User-Product'!$B$2:$J$43, MATCH(AB$1, 'User-Product'!$A$2:$A$43, 0), 0)
)</f>
        <v>1</v>
      </c>
      <c r="AC12" s="51">
        <f t="array" ref="AC12">SUMPRODUCT(
  'User-Product'!$B12:$J12,
  INDEX('User-Product'!$B$2:$J$43, MATCH(AC$1, 'User-Product'!$A$2:$A$43, 0), 0)
)</f>
        <v>1</v>
      </c>
      <c r="AD12" s="51">
        <f t="array" ref="AD12">SUMPRODUCT(
  'User-Product'!$B12:$J12,
  INDEX('User-Product'!$B$2:$J$43, MATCH(AD$1, 'User-Product'!$A$2:$A$43, 0), 0)
)</f>
        <v>1</v>
      </c>
      <c r="AE12" s="51">
        <f t="array" ref="AE12">SUMPRODUCT(
  'User-Product'!$B12:$J12,
  INDEX('User-Product'!$B$2:$J$43, MATCH(AE$1, 'User-Product'!$A$2:$A$43, 0), 0)
)</f>
        <v>1</v>
      </c>
      <c r="AF12" s="51">
        <f t="array" ref="AF12">SUMPRODUCT(
  'User-Product'!$B12:$J12,
  INDEX('User-Product'!$B$2:$J$43, MATCH(AF$1, 'User-Product'!$A$2:$A$43, 0), 0)
)</f>
        <v>1</v>
      </c>
      <c r="AG12" s="51">
        <f t="array" ref="AG12">SUMPRODUCT(
  'User-Product'!$B12:$J12,
  INDEX('User-Product'!$B$2:$J$43, MATCH(AG$1, 'User-Product'!$A$2:$A$43, 0), 0)
)</f>
        <v>0</v>
      </c>
      <c r="AH12" s="51">
        <f t="array" ref="AH12">SUMPRODUCT(
  'User-Product'!$B12:$J12,
  INDEX('User-Product'!$B$2:$J$43, MATCH(AH$1, 'User-Product'!$A$2:$A$43, 0), 0)
)</f>
        <v>0</v>
      </c>
      <c r="AI12" s="51">
        <f t="array" ref="AI12">SUMPRODUCT(
  'User-Product'!$B12:$J12,
  INDEX('User-Product'!$B$2:$J$43, MATCH(AI$1, 'User-Product'!$A$2:$A$43, 0), 0)
)</f>
        <v>0</v>
      </c>
      <c r="AJ12" s="51">
        <f t="array" ref="AJ12">SUMPRODUCT(
  'User-Product'!$B12:$J12,
  INDEX('User-Product'!$B$2:$J$43, MATCH(AJ$1, 'User-Product'!$A$2:$A$43, 0), 0)
)</f>
        <v>0</v>
      </c>
      <c r="AK12" s="51">
        <f t="array" ref="AK12">SUMPRODUCT(
  'User-Product'!$B12:$J12,
  INDEX('User-Product'!$B$2:$J$43, MATCH(AK$1, 'User-Product'!$A$2:$A$43, 0), 0)
)</f>
        <v>0</v>
      </c>
      <c r="AL12" s="51">
        <f t="array" ref="AL12">SUMPRODUCT(
  'User-Product'!$B12:$J12,
  INDEX('User-Product'!$B$2:$J$43, MATCH(AL$1, 'User-Product'!$A$2:$A$43, 0), 0)
)</f>
        <v>1</v>
      </c>
      <c r="AM12" s="51">
        <f t="array" ref="AM12">SUMPRODUCT(
  'User-Product'!$B12:$J12,
  INDEX('User-Product'!$B$2:$J$43, MATCH(AM$1, 'User-Product'!$A$2:$A$43, 0), 0)
)</f>
        <v>0</v>
      </c>
      <c r="AN12" s="51">
        <f t="array" ref="AN12">SUMPRODUCT(
  'User-Product'!$B12:$J12,
  INDEX('User-Product'!$B$2:$J$43, MATCH(AN$1, 'User-Product'!$A$2:$A$43, 0), 0)
)</f>
        <v>1</v>
      </c>
      <c r="AO12" s="51">
        <f t="array" ref="AO12">SUMPRODUCT(
  'User-Product'!$B12:$J12,
  INDEX('User-Product'!$B$2:$J$43, MATCH(AO$1, 'User-Product'!$A$2:$A$43, 0), 0)
)</f>
        <v>0</v>
      </c>
      <c r="AP12" s="51">
        <f t="array" ref="AP12">SUMPRODUCT(
  'User-Product'!$B12:$J12,
  INDEX('User-Product'!$B$2:$J$43, MATCH(AP$1, 'User-Product'!$A$2:$A$43, 0), 0)
)</f>
        <v>1</v>
      </c>
      <c r="AQ12" s="51">
        <f t="array" ref="AQ12">SUMPRODUCT(
  'User-Product'!$B12:$J12,
  INDEX('User-Product'!$B$2:$J$43, MATCH(AQ$1, 'User-Product'!$A$2:$A$43, 0), 0)
)</f>
        <v>1</v>
      </c>
      <c r="AR12" s="51"/>
      <c r="AS12" s="51"/>
      <c r="AT12" s="51"/>
      <c r="AU12" s="51"/>
      <c r="AV12" s="51"/>
      <c r="AW12" s="51"/>
      <c r="AX12" s="51"/>
      <c r="AY12" s="51"/>
    </row>
    <row r="13">
      <c r="A13" s="52" t="s">
        <v>73</v>
      </c>
      <c r="B13" s="51">
        <f t="array" ref="B13">SUMPRODUCT(
  'User-Product'!$B13:$J13,
  INDEX('User-Product'!$B$2:$J$43, MATCH(B$1, 'User-Product'!$A$2:$A$43, 0), 0)
)</f>
        <v>1</v>
      </c>
      <c r="C13" s="51">
        <f t="array" ref="C13">SUMPRODUCT(
  'User-Product'!$B13:$J13,
  INDEX('User-Product'!$B$2:$J$43, MATCH(C$1, 'User-Product'!$A$2:$A$43, 0), 0)
)</f>
        <v>1</v>
      </c>
      <c r="D13" s="51">
        <f t="array" ref="D13">SUMPRODUCT(
  'User-Product'!$B13:$J13,
  INDEX('User-Product'!$B$2:$J$43, MATCH(D$1, 'User-Product'!$A$2:$A$43, 0), 0)
)</f>
        <v>0</v>
      </c>
      <c r="E13" s="51">
        <f t="array" ref="E13">SUMPRODUCT(
  'User-Product'!$B13:$J13,
  INDEX('User-Product'!$B$2:$J$43, MATCH(E$1, 'User-Product'!$A$2:$A$43, 0), 0)
)</f>
        <v>0</v>
      </c>
      <c r="F13" s="51">
        <f t="array" ref="F13">SUMPRODUCT(
  'User-Product'!$B13:$J13,
  INDEX('User-Product'!$B$2:$J$43, MATCH(F$1, 'User-Product'!$A$2:$A$43, 0), 0)
)</f>
        <v>1</v>
      </c>
      <c r="G13" s="51">
        <f t="array" ref="G13">SUMPRODUCT(
  'User-Product'!$B13:$J13,
  INDEX('User-Product'!$B$2:$J$43, MATCH(G$1, 'User-Product'!$A$2:$A$43, 0), 0)
)</f>
        <v>0</v>
      </c>
      <c r="H13" s="51">
        <f t="array" ref="H13">SUMPRODUCT(
  'User-Product'!$B13:$J13,
  INDEX('User-Product'!$B$2:$J$43, MATCH(H$1, 'User-Product'!$A$2:$A$43, 0), 0)
)</f>
        <v>1</v>
      </c>
      <c r="I13" s="51">
        <f t="array" ref="I13">SUMPRODUCT(
  'User-Product'!$B13:$J13,
  INDEX('User-Product'!$B$2:$J$43, MATCH(I$1, 'User-Product'!$A$2:$A$43, 0), 0)
)</f>
        <v>1</v>
      </c>
      <c r="J13" s="51">
        <f t="array" ref="J13">SUMPRODUCT(
  'User-Product'!$B13:$J13,
  INDEX('User-Product'!$B$2:$J$43, MATCH(J$1, 'User-Product'!$A$2:$A$43, 0), 0)
)</f>
        <v>0</v>
      </c>
      <c r="K13" s="51">
        <f t="array" ref="K13">SUMPRODUCT(
  'User-Product'!$B13:$J13,
  INDEX('User-Product'!$B$2:$J$43, MATCH(K$1, 'User-Product'!$A$2:$A$43, 0), 0)
)</f>
        <v>0</v>
      </c>
      <c r="L13" s="51">
        <f t="array" ref="L13">SUMPRODUCT(
  'User-Product'!$B13:$J13,
  INDEX('User-Product'!$B$2:$J$43, MATCH(L$1, 'User-Product'!$A$2:$A$43, 0), 0)
)</f>
        <v>0</v>
      </c>
      <c r="M13" s="51">
        <f t="array" ref="M13">SUMPRODUCT(
  'User-Product'!$B13:$J13,
  INDEX('User-Product'!$B$2:$J$43, MATCH(M$1, 'User-Product'!$A$2:$A$43, 0), 0)
)</f>
        <v>1</v>
      </c>
      <c r="N13" s="51">
        <f t="array" ref="N13">SUMPRODUCT(
  'User-Product'!$B13:$J13,
  INDEX('User-Product'!$B$2:$J$43, MATCH(N$1, 'User-Product'!$A$2:$A$43, 0), 0)
)</f>
        <v>0</v>
      </c>
      <c r="O13" s="51">
        <f t="array" ref="O13">SUMPRODUCT(
  'User-Product'!$B13:$J13,
  INDEX('User-Product'!$B$2:$J$43, MATCH(O$1, 'User-Product'!$A$2:$A$43, 0), 0)
)</f>
        <v>0</v>
      </c>
      <c r="P13" s="51">
        <f t="array" ref="P13">SUMPRODUCT(
  'User-Product'!$B13:$J13,
  INDEX('User-Product'!$B$2:$J$43, MATCH(P$1, 'User-Product'!$A$2:$A$43, 0), 0)
)</f>
        <v>0</v>
      </c>
      <c r="Q13" s="51">
        <f t="array" ref="Q13">SUMPRODUCT(
  'User-Product'!$B13:$J13,
  INDEX('User-Product'!$B$2:$J$43, MATCH(Q$1, 'User-Product'!$A$2:$A$43, 0), 0)
)</f>
        <v>0</v>
      </c>
      <c r="R13" s="51">
        <f t="array" ref="R13">SUMPRODUCT(
  'User-Product'!$B13:$J13,
  INDEX('User-Product'!$B$2:$J$43, MATCH(R$1, 'User-Product'!$A$2:$A$43, 0), 0)
)</f>
        <v>0</v>
      </c>
      <c r="S13" s="51">
        <f t="array" ref="S13">SUMPRODUCT(
  'User-Product'!$B13:$J13,
  INDEX('User-Product'!$B$2:$J$43, MATCH(S$1, 'User-Product'!$A$2:$A$43, 0), 0)
)</f>
        <v>1</v>
      </c>
      <c r="T13" s="51">
        <f t="array" ref="T13">SUMPRODUCT(
  'User-Product'!$B13:$J13,
  INDEX('User-Product'!$B$2:$J$43, MATCH(T$1, 'User-Product'!$A$2:$A$43, 0), 0)
)</f>
        <v>1</v>
      </c>
      <c r="U13" s="51">
        <f t="array" ref="U13">SUMPRODUCT(
  'User-Product'!$B13:$J13,
  INDEX('User-Product'!$B$2:$J$43, MATCH(U$1, 'User-Product'!$A$2:$A$43, 0), 0)
)</f>
        <v>1</v>
      </c>
      <c r="V13" s="51">
        <f t="array" ref="V13">SUMPRODUCT(
  'User-Product'!$B13:$J13,
  INDEX('User-Product'!$B$2:$J$43, MATCH(V$1, 'User-Product'!$A$2:$A$43, 0), 0)
)</f>
        <v>0</v>
      </c>
      <c r="W13" s="51">
        <f t="array" ref="W13">SUMPRODUCT(
  'User-Product'!$B13:$J13,
  INDEX('User-Product'!$B$2:$J$43, MATCH(W$1, 'User-Product'!$A$2:$A$43, 0), 0)
)</f>
        <v>1</v>
      </c>
      <c r="X13" s="51">
        <f t="array" ref="X13">SUMPRODUCT(
  'User-Product'!$B13:$J13,
  INDEX('User-Product'!$B$2:$J$43, MATCH(X$1, 'User-Product'!$A$2:$A$43, 0), 0)
)</f>
        <v>1</v>
      </c>
      <c r="Y13" s="51">
        <f t="array" ref="Y13">SUMPRODUCT(
  'User-Product'!$B13:$J13,
  INDEX('User-Product'!$B$2:$J$43, MATCH(Y$1, 'User-Product'!$A$2:$A$43, 0), 0)
)</f>
        <v>0</v>
      </c>
      <c r="Z13" s="51">
        <f t="array" ref="Z13">SUMPRODUCT(
  'User-Product'!$B13:$J13,
  INDEX('User-Product'!$B$2:$J$43, MATCH(Z$1, 'User-Product'!$A$2:$A$43, 0), 0)
)</f>
        <v>1</v>
      </c>
      <c r="AA13" s="51">
        <f t="array" ref="AA13">SUMPRODUCT(
  'User-Product'!$B13:$J13,
  INDEX('User-Product'!$B$2:$J$43, MATCH(AA$1, 'User-Product'!$A$2:$A$43, 0), 0)
)</f>
        <v>1</v>
      </c>
      <c r="AB13" s="51">
        <f t="array" ref="AB13">SUMPRODUCT(
  'User-Product'!$B13:$J13,
  INDEX('User-Product'!$B$2:$J$43, MATCH(AB$1, 'User-Product'!$A$2:$A$43, 0), 0)
)</f>
        <v>1</v>
      </c>
      <c r="AC13" s="51">
        <f t="array" ref="AC13">SUMPRODUCT(
  'User-Product'!$B13:$J13,
  INDEX('User-Product'!$B$2:$J$43, MATCH(AC$1, 'User-Product'!$A$2:$A$43, 0), 0)
)</f>
        <v>1</v>
      </c>
      <c r="AD13" s="51">
        <f t="array" ref="AD13">SUMPRODUCT(
  'User-Product'!$B13:$J13,
  INDEX('User-Product'!$B$2:$J$43, MATCH(AD$1, 'User-Product'!$A$2:$A$43, 0), 0)
)</f>
        <v>0</v>
      </c>
      <c r="AE13" s="51">
        <f t="array" ref="AE13">SUMPRODUCT(
  'User-Product'!$B13:$J13,
  INDEX('User-Product'!$B$2:$J$43, MATCH(AE$1, 'User-Product'!$A$2:$A$43, 0), 0)
)</f>
        <v>1</v>
      </c>
      <c r="AF13" s="51">
        <f t="array" ref="AF13">SUMPRODUCT(
  'User-Product'!$B13:$J13,
  INDEX('User-Product'!$B$2:$J$43, MATCH(AF$1, 'User-Product'!$A$2:$A$43, 0), 0)
)</f>
        <v>1</v>
      </c>
      <c r="AG13" s="51">
        <f t="array" ref="AG13">SUMPRODUCT(
  'User-Product'!$B13:$J13,
  INDEX('User-Product'!$B$2:$J$43, MATCH(AG$1, 'User-Product'!$A$2:$A$43, 0), 0)
)</f>
        <v>0</v>
      </c>
      <c r="AH13" s="51">
        <f t="array" ref="AH13">SUMPRODUCT(
  'User-Product'!$B13:$J13,
  INDEX('User-Product'!$B$2:$J$43, MATCH(AH$1, 'User-Product'!$A$2:$A$43, 0), 0)
)</f>
        <v>0</v>
      </c>
      <c r="AI13" s="51">
        <f t="array" ref="AI13">SUMPRODUCT(
  'User-Product'!$B13:$J13,
  INDEX('User-Product'!$B$2:$J$43, MATCH(AI$1, 'User-Product'!$A$2:$A$43, 0), 0)
)</f>
        <v>0</v>
      </c>
      <c r="AJ13" s="51">
        <f t="array" ref="AJ13">SUMPRODUCT(
  'User-Product'!$B13:$J13,
  INDEX('User-Product'!$B$2:$J$43, MATCH(AJ$1, 'User-Product'!$A$2:$A$43, 0), 0)
)</f>
        <v>0</v>
      </c>
      <c r="AK13" s="51">
        <f t="array" ref="AK13">SUMPRODUCT(
  'User-Product'!$B13:$J13,
  INDEX('User-Product'!$B$2:$J$43, MATCH(AK$1, 'User-Product'!$A$2:$A$43, 0), 0)
)</f>
        <v>1</v>
      </c>
      <c r="AL13" s="51">
        <f t="array" ref="AL13">SUMPRODUCT(
  'User-Product'!$B13:$J13,
  INDEX('User-Product'!$B$2:$J$43, MATCH(AL$1, 'User-Product'!$A$2:$A$43, 0), 0)
)</f>
        <v>1</v>
      </c>
      <c r="AM13" s="51">
        <f t="array" ref="AM13">SUMPRODUCT(
  'User-Product'!$B13:$J13,
  INDEX('User-Product'!$B$2:$J$43, MATCH(AM$1, 'User-Product'!$A$2:$A$43, 0), 0)
)</f>
        <v>1</v>
      </c>
      <c r="AN13" s="51">
        <f t="array" ref="AN13">SUMPRODUCT(
  'User-Product'!$B13:$J13,
  INDEX('User-Product'!$B$2:$J$43, MATCH(AN$1, 'User-Product'!$A$2:$A$43, 0), 0)
)</f>
        <v>1</v>
      </c>
      <c r="AO13" s="51">
        <f t="array" ref="AO13">SUMPRODUCT(
  'User-Product'!$B13:$J13,
  INDEX('User-Product'!$B$2:$J$43, MATCH(AO$1, 'User-Product'!$A$2:$A$43, 0), 0)
)</f>
        <v>0</v>
      </c>
      <c r="AP13" s="51">
        <f t="array" ref="AP13">SUMPRODUCT(
  'User-Product'!$B13:$J13,
  INDEX('User-Product'!$B$2:$J$43, MATCH(AP$1, 'User-Product'!$A$2:$A$43, 0), 0)
)</f>
        <v>1</v>
      </c>
      <c r="AQ13" s="51">
        <f t="array" ref="AQ13">SUMPRODUCT(
  'User-Product'!$B13:$J13,
  INDEX('User-Product'!$B$2:$J$43, MATCH(AQ$1, 'User-Product'!$A$2:$A$43, 0), 0)
)</f>
        <v>0</v>
      </c>
      <c r="AR13" s="51"/>
      <c r="AS13" s="51"/>
      <c r="AT13" s="51"/>
      <c r="AU13" s="51"/>
      <c r="AV13" s="51"/>
      <c r="AW13" s="51"/>
      <c r="AX13" s="51"/>
      <c r="AY13" s="51"/>
    </row>
    <row r="14">
      <c r="A14" s="52" t="s">
        <v>74</v>
      </c>
      <c r="B14" s="51">
        <f t="array" ref="B14">SUMPRODUCT(
  'User-Product'!$B14:$J14,
  INDEX('User-Product'!$B$2:$J$43, MATCH(B$1, 'User-Product'!$A$2:$A$43, 0), 0)
)</f>
        <v>1</v>
      </c>
      <c r="C14" s="51">
        <f t="array" ref="C14">SUMPRODUCT(
  'User-Product'!$B14:$J14,
  INDEX('User-Product'!$B$2:$J$43, MATCH(C$1, 'User-Product'!$A$2:$A$43, 0), 0)
)</f>
        <v>0</v>
      </c>
      <c r="D14" s="51">
        <f t="array" ref="D14">SUMPRODUCT(
  'User-Product'!$B14:$J14,
  INDEX('User-Product'!$B$2:$J$43, MATCH(D$1, 'User-Product'!$A$2:$A$43, 0), 0)
)</f>
        <v>1</v>
      </c>
      <c r="E14" s="51">
        <f t="array" ref="E14">SUMPRODUCT(
  'User-Product'!$B14:$J14,
  INDEX('User-Product'!$B$2:$J$43, MATCH(E$1, 'User-Product'!$A$2:$A$43, 0), 0)
)</f>
        <v>0</v>
      </c>
      <c r="F14" s="51">
        <f t="array" ref="F14">SUMPRODUCT(
  'User-Product'!$B14:$J14,
  INDEX('User-Product'!$B$2:$J$43, MATCH(F$1, 'User-Product'!$A$2:$A$43, 0), 0)
)</f>
        <v>1</v>
      </c>
      <c r="G14" s="51">
        <f t="array" ref="G14">SUMPRODUCT(
  'User-Product'!$B14:$J14,
  INDEX('User-Product'!$B$2:$J$43, MATCH(G$1, 'User-Product'!$A$2:$A$43, 0), 0)
)</f>
        <v>1</v>
      </c>
      <c r="H14" s="51">
        <f t="array" ref="H14">SUMPRODUCT(
  'User-Product'!$B14:$J14,
  INDEX('User-Product'!$B$2:$J$43, MATCH(H$1, 'User-Product'!$A$2:$A$43, 0), 0)
)</f>
        <v>1</v>
      </c>
      <c r="I14" s="51">
        <f t="array" ref="I14">SUMPRODUCT(
  'User-Product'!$B14:$J14,
  INDEX('User-Product'!$B$2:$J$43, MATCH(I$1, 'User-Product'!$A$2:$A$43, 0), 0)
)</f>
        <v>1</v>
      </c>
      <c r="J14" s="51">
        <f t="array" ref="J14">SUMPRODUCT(
  'User-Product'!$B14:$J14,
  INDEX('User-Product'!$B$2:$J$43, MATCH(J$1, 'User-Product'!$A$2:$A$43, 0), 0)
)</f>
        <v>1</v>
      </c>
      <c r="K14" s="51">
        <f t="array" ref="K14">SUMPRODUCT(
  'User-Product'!$B14:$J14,
  INDEX('User-Product'!$B$2:$J$43, MATCH(K$1, 'User-Product'!$A$2:$A$43, 0), 0)
)</f>
        <v>1</v>
      </c>
      <c r="L14" s="51">
        <f t="array" ref="L14">SUMPRODUCT(
  'User-Product'!$B14:$J14,
  INDEX('User-Product'!$B$2:$J$43, MATCH(L$1, 'User-Product'!$A$2:$A$43, 0), 0)
)</f>
        <v>1</v>
      </c>
      <c r="M14" s="51">
        <f t="array" ref="M14">SUMPRODUCT(
  'User-Product'!$B14:$J14,
  INDEX('User-Product'!$B$2:$J$43, MATCH(M$1, 'User-Product'!$A$2:$A$43, 0), 0)
)</f>
        <v>0</v>
      </c>
      <c r="N14" s="51">
        <f t="array" ref="N14">SUMPRODUCT(
  'User-Product'!$B14:$J14,
  INDEX('User-Product'!$B$2:$J$43, MATCH(N$1, 'User-Product'!$A$2:$A$43, 0), 0)
)</f>
        <v>1</v>
      </c>
      <c r="O14" s="51">
        <f t="array" ref="O14">SUMPRODUCT(
  'User-Product'!$B14:$J14,
  INDEX('User-Product'!$B$2:$J$43, MATCH(O$1, 'User-Product'!$A$2:$A$43, 0), 0)
)</f>
        <v>0</v>
      </c>
      <c r="P14" s="51">
        <f t="array" ref="P14">SUMPRODUCT(
  'User-Product'!$B14:$J14,
  INDEX('User-Product'!$B$2:$J$43, MATCH(P$1, 'User-Product'!$A$2:$A$43, 0), 0)
)</f>
        <v>0</v>
      </c>
      <c r="Q14" s="51">
        <f t="array" ref="Q14">SUMPRODUCT(
  'User-Product'!$B14:$J14,
  INDEX('User-Product'!$B$2:$J$43, MATCH(Q$1, 'User-Product'!$A$2:$A$43, 0), 0)
)</f>
        <v>0</v>
      </c>
      <c r="R14" s="51">
        <f t="array" ref="R14">SUMPRODUCT(
  'User-Product'!$B14:$J14,
  INDEX('User-Product'!$B$2:$J$43, MATCH(R$1, 'User-Product'!$A$2:$A$43, 0), 0)
)</f>
        <v>1</v>
      </c>
      <c r="S14" s="51">
        <f t="array" ref="S14">SUMPRODUCT(
  'User-Product'!$B14:$J14,
  INDEX('User-Product'!$B$2:$J$43, MATCH(S$1, 'User-Product'!$A$2:$A$43, 0), 0)
)</f>
        <v>0</v>
      </c>
      <c r="T14" s="51">
        <f t="array" ref="T14">SUMPRODUCT(
  'User-Product'!$B14:$J14,
  INDEX('User-Product'!$B$2:$J$43, MATCH(T$1, 'User-Product'!$A$2:$A$43, 0), 0)
)</f>
        <v>0</v>
      </c>
      <c r="U14" s="51">
        <f t="array" ref="U14">SUMPRODUCT(
  'User-Product'!$B14:$J14,
  INDEX('User-Product'!$B$2:$J$43, MATCH(U$1, 'User-Product'!$A$2:$A$43, 0), 0)
)</f>
        <v>0</v>
      </c>
      <c r="V14" s="51">
        <f t="array" ref="V14">SUMPRODUCT(
  'User-Product'!$B14:$J14,
  INDEX('User-Product'!$B$2:$J$43, MATCH(V$1, 'User-Product'!$A$2:$A$43, 0), 0)
)</f>
        <v>0</v>
      </c>
      <c r="W14" s="51">
        <f t="array" ref="W14">SUMPRODUCT(
  'User-Product'!$B14:$J14,
  INDEX('User-Product'!$B$2:$J$43, MATCH(W$1, 'User-Product'!$A$2:$A$43, 0), 0)
)</f>
        <v>0</v>
      </c>
      <c r="X14" s="51">
        <f t="array" ref="X14">SUMPRODUCT(
  'User-Product'!$B14:$J14,
  INDEX('User-Product'!$B$2:$J$43, MATCH(X$1, 'User-Product'!$A$2:$A$43, 0), 0)
)</f>
        <v>0</v>
      </c>
      <c r="Y14" s="51">
        <f t="array" ref="Y14">SUMPRODUCT(
  'User-Product'!$B14:$J14,
  INDEX('User-Product'!$B$2:$J$43, MATCH(Y$1, 'User-Product'!$A$2:$A$43, 0), 0)
)</f>
        <v>1</v>
      </c>
      <c r="Z14" s="51">
        <f t="array" ref="Z14">SUMPRODUCT(
  'User-Product'!$B14:$J14,
  INDEX('User-Product'!$B$2:$J$43, MATCH(Z$1, 'User-Product'!$A$2:$A$43, 0), 0)
)</f>
        <v>0</v>
      </c>
      <c r="AA14" s="51">
        <f t="array" ref="AA14">SUMPRODUCT(
  'User-Product'!$B14:$J14,
  INDEX('User-Product'!$B$2:$J$43, MATCH(AA$1, 'User-Product'!$A$2:$A$43, 0), 0)
)</f>
        <v>0</v>
      </c>
      <c r="AB14" s="51">
        <f t="array" ref="AB14">SUMPRODUCT(
  'User-Product'!$B14:$J14,
  INDEX('User-Product'!$B$2:$J$43, MATCH(AB$1, 'User-Product'!$A$2:$A$43, 0), 0)
)</f>
        <v>1</v>
      </c>
      <c r="AC14" s="51">
        <f t="array" ref="AC14">SUMPRODUCT(
  'User-Product'!$B14:$J14,
  INDEX('User-Product'!$B$2:$J$43, MATCH(AC$1, 'User-Product'!$A$2:$A$43, 0), 0)
)</f>
        <v>1</v>
      </c>
      <c r="AD14" s="51">
        <f t="array" ref="AD14">SUMPRODUCT(
  'User-Product'!$B14:$J14,
  INDEX('User-Product'!$B$2:$J$43, MATCH(AD$1, 'User-Product'!$A$2:$A$43, 0), 0)
)</f>
        <v>1</v>
      </c>
      <c r="AE14" s="51">
        <f t="array" ref="AE14">SUMPRODUCT(
  'User-Product'!$B14:$J14,
  INDEX('User-Product'!$B$2:$J$43, MATCH(AE$1, 'User-Product'!$A$2:$A$43, 0), 0)
)</f>
        <v>1</v>
      </c>
      <c r="AF14" s="51">
        <f t="array" ref="AF14">SUMPRODUCT(
  'User-Product'!$B14:$J14,
  INDEX('User-Product'!$B$2:$J$43, MATCH(AF$1, 'User-Product'!$A$2:$A$43, 0), 0)
)</f>
        <v>1</v>
      </c>
      <c r="AG14" s="51">
        <f t="array" ref="AG14">SUMPRODUCT(
  'User-Product'!$B14:$J14,
  INDEX('User-Product'!$B$2:$J$43, MATCH(AG$1, 'User-Product'!$A$2:$A$43, 0), 0)
)</f>
        <v>0</v>
      </c>
      <c r="AH14" s="51">
        <f t="array" ref="AH14">SUMPRODUCT(
  'User-Product'!$B14:$J14,
  INDEX('User-Product'!$B$2:$J$43, MATCH(AH$1, 'User-Product'!$A$2:$A$43, 0), 0)
)</f>
        <v>0</v>
      </c>
      <c r="AI14" s="51">
        <f t="array" ref="AI14">SUMPRODUCT(
  'User-Product'!$B14:$J14,
  INDEX('User-Product'!$B$2:$J$43, MATCH(AI$1, 'User-Product'!$A$2:$A$43, 0), 0)
)</f>
        <v>0</v>
      </c>
      <c r="AJ14" s="51">
        <f t="array" ref="AJ14">SUMPRODUCT(
  'User-Product'!$B14:$J14,
  INDEX('User-Product'!$B$2:$J$43, MATCH(AJ$1, 'User-Product'!$A$2:$A$43, 0), 0)
)</f>
        <v>0</v>
      </c>
      <c r="AK14" s="51">
        <f t="array" ref="AK14">SUMPRODUCT(
  'User-Product'!$B14:$J14,
  INDEX('User-Product'!$B$2:$J$43, MATCH(AK$1, 'User-Product'!$A$2:$A$43, 0), 0)
)</f>
        <v>0</v>
      </c>
      <c r="AL14" s="51">
        <f t="array" ref="AL14">SUMPRODUCT(
  'User-Product'!$B14:$J14,
  INDEX('User-Product'!$B$2:$J$43, MATCH(AL$1, 'User-Product'!$A$2:$A$43, 0), 0)
)</f>
        <v>1</v>
      </c>
      <c r="AM14" s="51">
        <f t="array" ref="AM14">SUMPRODUCT(
  'User-Product'!$B14:$J14,
  INDEX('User-Product'!$B$2:$J$43, MATCH(AM$1, 'User-Product'!$A$2:$A$43, 0), 0)
)</f>
        <v>0</v>
      </c>
      <c r="AN14" s="51">
        <f t="array" ref="AN14">SUMPRODUCT(
  'User-Product'!$B14:$J14,
  INDEX('User-Product'!$B$2:$J$43, MATCH(AN$1, 'User-Product'!$A$2:$A$43, 0), 0)
)</f>
        <v>1</v>
      </c>
      <c r="AO14" s="51">
        <f t="array" ref="AO14">SUMPRODUCT(
  'User-Product'!$B14:$J14,
  INDEX('User-Product'!$B$2:$J$43, MATCH(AO$1, 'User-Product'!$A$2:$A$43, 0), 0)
)</f>
        <v>0</v>
      </c>
      <c r="AP14" s="51">
        <f t="array" ref="AP14">SUMPRODUCT(
  'User-Product'!$B14:$J14,
  INDEX('User-Product'!$B$2:$J$43, MATCH(AP$1, 'User-Product'!$A$2:$A$43, 0), 0)
)</f>
        <v>1</v>
      </c>
      <c r="AQ14" s="51">
        <f t="array" ref="AQ14">SUMPRODUCT(
  'User-Product'!$B14:$J14,
  INDEX('User-Product'!$B$2:$J$43, MATCH(AQ$1, 'User-Product'!$A$2:$A$43, 0), 0)
)</f>
        <v>1</v>
      </c>
      <c r="AR14" s="51"/>
      <c r="AS14" s="51"/>
      <c r="AT14" s="51"/>
      <c r="AU14" s="51"/>
      <c r="AV14" s="51"/>
      <c r="AW14" s="51"/>
      <c r="AX14" s="51"/>
      <c r="AY14" s="51"/>
    </row>
    <row r="15">
      <c r="A15" s="52" t="s">
        <v>75</v>
      </c>
      <c r="B15" s="51">
        <f t="array" ref="B15">SUMPRODUCT(
  'User-Product'!$B15:$J15,
  INDEX('User-Product'!$B$2:$J$43, MATCH(B$1, 'User-Product'!$A$2:$A$43, 0), 0)
)</f>
        <v>1</v>
      </c>
      <c r="C15" s="51">
        <f t="array" ref="C15">SUMPRODUCT(
  'User-Product'!$B15:$J15,
  INDEX('User-Product'!$B$2:$J$43, MATCH(C$1, 'User-Product'!$A$2:$A$43, 0), 0)
)</f>
        <v>1</v>
      </c>
      <c r="D15" s="51">
        <f t="array" ref="D15">SUMPRODUCT(
  'User-Product'!$B15:$J15,
  INDEX('User-Product'!$B$2:$J$43, MATCH(D$1, 'User-Product'!$A$2:$A$43, 0), 0)
)</f>
        <v>0</v>
      </c>
      <c r="E15" s="51">
        <f t="array" ref="E15">SUMPRODUCT(
  'User-Product'!$B15:$J15,
  INDEX('User-Product'!$B$2:$J$43, MATCH(E$1, 'User-Product'!$A$2:$A$43, 0), 0)
)</f>
        <v>0</v>
      </c>
      <c r="F15" s="51">
        <f t="array" ref="F15">SUMPRODUCT(
  'User-Product'!$B15:$J15,
  INDEX('User-Product'!$B$2:$J$43, MATCH(F$1, 'User-Product'!$A$2:$A$43, 0), 0)
)</f>
        <v>2</v>
      </c>
      <c r="G15" s="51">
        <f t="array" ref="G15">SUMPRODUCT(
  'User-Product'!$B15:$J15,
  INDEX('User-Product'!$B$2:$J$43, MATCH(G$1, 'User-Product'!$A$2:$A$43, 0), 0)
)</f>
        <v>1</v>
      </c>
      <c r="H15" s="51">
        <f t="array" ref="H15">SUMPRODUCT(
  'User-Product'!$B15:$J15,
  INDEX('User-Product'!$B$2:$J$43, MATCH(H$1, 'User-Product'!$A$2:$A$43, 0), 0)
)</f>
        <v>1</v>
      </c>
      <c r="I15" s="51">
        <f t="array" ref="I15">SUMPRODUCT(
  'User-Product'!$B15:$J15,
  INDEX('User-Product'!$B$2:$J$43, MATCH(I$1, 'User-Product'!$A$2:$A$43, 0), 0)
)</f>
        <v>0</v>
      </c>
      <c r="J15" s="51">
        <f t="array" ref="J15">SUMPRODUCT(
  'User-Product'!$B15:$J15,
  INDEX('User-Product'!$B$2:$J$43, MATCH(J$1, 'User-Product'!$A$2:$A$43, 0), 0)
)</f>
        <v>2</v>
      </c>
      <c r="K15" s="51">
        <f t="array" ref="K15">SUMPRODUCT(
  'User-Product'!$B15:$J15,
  INDEX('User-Product'!$B$2:$J$43, MATCH(K$1, 'User-Product'!$A$2:$A$43, 0), 0)
)</f>
        <v>2</v>
      </c>
      <c r="L15" s="51">
        <f t="array" ref="L15">SUMPRODUCT(
  'User-Product'!$B15:$J15,
  INDEX('User-Product'!$B$2:$J$43, MATCH(L$1, 'User-Product'!$A$2:$A$43, 0), 0)
)</f>
        <v>0</v>
      </c>
      <c r="M15" s="51">
        <f t="array" ref="M15">SUMPRODUCT(
  'User-Product'!$B15:$J15,
  INDEX('User-Product'!$B$2:$J$43, MATCH(M$1, 'User-Product'!$A$2:$A$43, 0), 0)
)</f>
        <v>0</v>
      </c>
      <c r="N15" s="51">
        <f t="array" ref="N15">SUMPRODUCT(
  'User-Product'!$B15:$J15,
  INDEX('User-Product'!$B$2:$J$43, MATCH(N$1, 'User-Product'!$A$2:$A$43, 0), 0)
)</f>
        <v>0</v>
      </c>
      <c r="O15" s="51">
        <f t="array" ref="O15">SUMPRODUCT(
  'User-Product'!$B15:$J15,
  INDEX('User-Product'!$B$2:$J$43, MATCH(O$1, 'User-Product'!$A$2:$A$43, 0), 0)
)</f>
        <v>2</v>
      </c>
      <c r="P15" s="51">
        <f t="array" ref="P15">SUMPRODUCT(
  'User-Product'!$B15:$J15,
  INDEX('User-Product'!$B$2:$J$43, MATCH(P$1, 'User-Product'!$A$2:$A$43, 0), 0)
)</f>
        <v>0</v>
      </c>
      <c r="Q15" s="51">
        <f t="array" ref="Q15">SUMPRODUCT(
  'User-Product'!$B15:$J15,
  INDEX('User-Product'!$B$2:$J$43, MATCH(Q$1, 'User-Product'!$A$2:$A$43, 0), 0)
)</f>
        <v>0</v>
      </c>
      <c r="R15" s="51">
        <f t="array" ref="R15">SUMPRODUCT(
  'User-Product'!$B15:$J15,
  INDEX('User-Product'!$B$2:$J$43, MATCH(R$1, 'User-Product'!$A$2:$A$43, 0), 0)
)</f>
        <v>0</v>
      </c>
      <c r="S15" s="51">
        <f t="array" ref="S15">SUMPRODUCT(
  'User-Product'!$B15:$J15,
  INDEX('User-Product'!$B$2:$J$43, MATCH(S$1, 'User-Product'!$A$2:$A$43, 0), 0)
)</f>
        <v>0</v>
      </c>
      <c r="T15" s="51">
        <f t="array" ref="T15">SUMPRODUCT(
  'User-Product'!$B15:$J15,
  INDEX('User-Product'!$B$2:$J$43, MATCH(T$1, 'User-Product'!$A$2:$A$43, 0), 0)
)</f>
        <v>1</v>
      </c>
      <c r="U15" s="51">
        <f t="array" ref="U15">SUMPRODUCT(
  'User-Product'!$B15:$J15,
  INDEX('User-Product'!$B$2:$J$43, MATCH(U$1, 'User-Product'!$A$2:$A$43, 0), 0)
)</f>
        <v>1</v>
      </c>
      <c r="V15" s="51">
        <f t="array" ref="V15">SUMPRODUCT(
  'User-Product'!$B15:$J15,
  INDEX('User-Product'!$B$2:$J$43, MATCH(V$1, 'User-Product'!$A$2:$A$43, 0), 0)
)</f>
        <v>0</v>
      </c>
      <c r="W15" s="51">
        <f t="array" ref="W15">SUMPRODUCT(
  'User-Product'!$B15:$J15,
  INDEX('User-Product'!$B$2:$J$43, MATCH(W$1, 'User-Product'!$A$2:$A$43, 0), 0)
)</f>
        <v>0</v>
      </c>
      <c r="X15" s="51">
        <f t="array" ref="X15">SUMPRODUCT(
  'User-Product'!$B15:$J15,
  INDEX('User-Product'!$B$2:$J$43, MATCH(X$1, 'User-Product'!$A$2:$A$43, 0), 0)
)</f>
        <v>0</v>
      </c>
      <c r="Y15" s="51">
        <f t="array" ref="Y15">SUMPRODUCT(
  'User-Product'!$B15:$J15,
  INDEX('User-Product'!$B$2:$J$43, MATCH(Y$1, 'User-Product'!$A$2:$A$43, 0), 0)
)</f>
        <v>2</v>
      </c>
      <c r="Z15" s="51">
        <f t="array" ref="Z15">SUMPRODUCT(
  'User-Product'!$B15:$J15,
  INDEX('User-Product'!$B$2:$J$43, MATCH(Z$1, 'User-Product'!$A$2:$A$43, 0), 0)
)</f>
        <v>0</v>
      </c>
      <c r="AA15" s="51">
        <f t="array" ref="AA15">SUMPRODUCT(
  'User-Product'!$B15:$J15,
  INDEX('User-Product'!$B$2:$J$43, MATCH(AA$1, 'User-Product'!$A$2:$A$43, 0), 0)
)</f>
        <v>0</v>
      </c>
      <c r="AB15" s="51">
        <f t="array" ref="AB15">SUMPRODUCT(
  'User-Product'!$B15:$J15,
  INDEX('User-Product'!$B$2:$J$43, MATCH(AB$1, 'User-Product'!$A$2:$A$43, 0), 0)
)</f>
        <v>2</v>
      </c>
      <c r="AC15" s="51">
        <f t="array" ref="AC15">SUMPRODUCT(
  'User-Product'!$B15:$J15,
  INDEX('User-Product'!$B$2:$J$43, MATCH(AC$1, 'User-Product'!$A$2:$A$43, 0), 0)
)</f>
        <v>0</v>
      </c>
      <c r="AD15" s="51">
        <f t="array" ref="AD15">SUMPRODUCT(
  'User-Product'!$B15:$J15,
  INDEX('User-Product'!$B$2:$J$43, MATCH(AD$1, 'User-Product'!$A$2:$A$43, 0), 0)
)</f>
        <v>1</v>
      </c>
      <c r="AE15" s="51">
        <f t="array" ref="AE15">SUMPRODUCT(
  'User-Product'!$B15:$J15,
  INDEX('User-Product'!$B$2:$J$43, MATCH(AE$1, 'User-Product'!$A$2:$A$43, 0), 0)
)</f>
        <v>1</v>
      </c>
      <c r="AF15" s="51">
        <f t="array" ref="AF15">SUMPRODUCT(
  'User-Product'!$B15:$J15,
  INDEX('User-Product'!$B$2:$J$43, MATCH(AF$1, 'User-Product'!$A$2:$A$43, 0), 0)
)</f>
        <v>2</v>
      </c>
      <c r="AG15" s="51">
        <f t="array" ref="AG15">SUMPRODUCT(
  'User-Product'!$B15:$J15,
  INDEX('User-Product'!$B$2:$J$43, MATCH(AG$1, 'User-Product'!$A$2:$A$43, 0), 0)
)</f>
        <v>0</v>
      </c>
      <c r="AH15" s="51">
        <f t="array" ref="AH15">SUMPRODUCT(
  'User-Product'!$B15:$J15,
  INDEX('User-Product'!$B$2:$J$43, MATCH(AH$1, 'User-Product'!$A$2:$A$43, 0), 0)
)</f>
        <v>2</v>
      </c>
      <c r="AI15" s="51">
        <f t="array" ref="AI15">SUMPRODUCT(
  'User-Product'!$B15:$J15,
  INDEX('User-Product'!$B$2:$J$43, MATCH(AI$1, 'User-Product'!$A$2:$A$43, 0), 0)
)</f>
        <v>2</v>
      </c>
      <c r="AJ15" s="51">
        <f t="array" ref="AJ15">SUMPRODUCT(
  'User-Product'!$B15:$J15,
  INDEX('User-Product'!$B$2:$J$43, MATCH(AJ$1, 'User-Product'!$A$2:$A$43, 0), 0)
)</f>
        <v>0</v>
      </c>
      <c r="AK15" s="51">
        <f t="array" ref="AK15">SUMPRODUCT(
  'User-Product'!$B15:$J15,
  INDEX('User-Product'!$B$2:$J$43, MATCH(AK$1, 'User-Product'!$A$2:$A$43, 0), 0)
)</f>
        <v>0</v>
      </c>
      <c r="AL15" s="51">
        <f t="array" ref="AL15">SUMPRODUCT(
  'User-Product'!$B15:$J15,
  INDEX('User-Product'!$B$2:$J$43, MATCH(AL$1, 'User-Product'!$A$2:$A$43, 0), 0)
)</f>
        <v>1</v>
      </c>
      <c r="AM15" s="51">
        <f t="array" ref="AM15">SUMPRODUCT(
  'User-Product'!$B15:$J15,
  INDEX('User-Product'!$B$2:$J$43, MATCH(AM$1, 'User-Product'!$A$2:$A$43, 0), 0)
)</f>
        <v>0</v>
      </c>
      <c r="AN15" s="51">
        <f t="array" ref="AN15">SUMPRODUCT(
  'User-Product'!$B15:$J15,
  INDEX('User-Product'!$B$2:$J$43, MATCH(AN$1, 'User-Product'!$A$2:$A$43, 0), 0)
)</f>
        <v>2</v>
      </c>
      <c r="AO15" s="51">
        <f t="array" ref="AO15">SUMPRODUCT(
  'User-Product'!$B15:$J15,
  INDEX('User-Product'!$B$2:$J$43, MATCH(AO$1, 'User-Product'!$A$2:$A$43, 0), 0)
)</f>
        <v>0</v>
      </c>
      <c r="AP15" s="51">
        <f t="array" ref="AP15">SUMPRODUCT(
  'User-Product'!$B15:$J15,
  INDEX('User-Product'!$B$2:$J$43, MATCH(AP$1, 'User-Product'!$A$2:$A$43, 0), 0)
)</f>
        <v>0</v>
      </c>
      <c r="AQ15" s="51">
        <f t="array" ref="AQ15">SUMPRODUCT(
  'User-Product'!$B15:$J15,
  INDEX('User-Product'!$B$2:$J$43, MATCH(AQ$1, 'User-Product'!$A$2:$A$43, 0), 0)
)</f>
        <v>2</v>
      </c>
      <c r="AR15" s="51"/>
      <c r="AS15" s="51"/>
      <c r="AT15" s="51"/>
      <c r="AU15" s="51"/>
      <c r="AV15" s="51"/>
      <c r="AW15" s="51"/>
      <c r="AX15" s="51"/>
      <c r="AY15" s="51"/>
    </row>
    <row r="16">
      <c r="A16" s="52" t="s">
        <v>76</v>
      </c>
      <c r="B16" s="51">
        <f t="array" ref="B16">SUMPRODUCT(
  'User-Product'!$B16:$J16,
  INDEX('User-Product'!$B$2:$J$43, MATCH(B$1, 'User-Product'!$A$2:$A$43, 0), 0)
)</f>
        <v>0</v>
      </c>
      <c r="C16" s="51">
        <f t="array" ref="C16">SUMPRODUCT(
  'User-Product'!$B16:$J16,
  INDEX('User-Product'!$B$2:$J$43, MATCH(C$1, 'User-Product'!$A$2:$A$43, 0), 0)
)</f>
        <v>1</v>
      </c>
      <c r="D16" s="51">
        <f t="array" ref="D16">SUMPRODUCT(
  'User-Product'!$B16:$J16,
  INDEX('User-Product'!$B$2:$J$43, MATCH(D$1, 'User-Product'!$A$2:$A$43, 0), 0)
)</f>
        <v>1</v>
      </c>
      <c r="E16" s="51">
        <f t="array" ref="E16">SUMPRODUCT(
  'User-Product'!$B16:$J16,
  INDEX('User-Product'!$B$2:$J$43, MATCH(E$1, 'User-Product'!$A$2:$A$43, 0), 0)
)</f>
        <v>1</v>
      </c>
      <c r="F16" s="51">
        <f t="array" ref="F16">SUMPRODUCT(
  'User-Product'!$B16:$J16,
  INDEX('User-Product'!$B$2:$J$43, MATCH(F$1, 'User-Product'!$A$2:$A$43, 0), 0)
)</f>
        <v>3</v>
      </c>
      <c r="G16" s="51">
        <f t="array" ref="G16">SUMPRODUCT(
  'User-Product'!$B16:$J16,
  INDEX('User-Product'!$B$2:$J$43, MATCH(G$1, 'User-Product'!$A$2:$A$43, 0), 0)
)</f>
        <v>0</v>
      </c>
      <c r="H16" s="51">
        <f t="array" ref="H16">SUMPRODUCT(
  'User-Product'!$B16:$J16,
  INDEX('User-Product'!$B$2:$J$43, MATCH(H$1, 'User-Product'!$A$2:$A$43, 0), 0)
)</f>
        <v>1</v>
      </c>
      <c r="I16" s="51">
        <f t="array" ref="I16">SUMPRODUCT(
  'User-Product'!$B16:$J16,
  INDEX('User-Product'!$B$2:$J$43, MATCH(I$1, 'User-Product'!$A$2:$A$43, 0), 0)
)</f>
        <v>1</v>
      </c>
      <c r="J16" s="51">
        <f t="array" ref="J16">SUMPRODUCT(
  'User-Product'!$B16:$J16,
  INDEX('User-Product'!$B$2:$J$43, MATCH(J$1, 'User-Product'!$A$2:$A$43, 0), 0)
)</f>
        <v>2</v>
      </c>
      <c r="K16" s="51">
        <f t="array" ref="K16">SUMPRODUCT(
  'User-Product'!$B16:$J16,
  INDEX('User-Product'!$B$2:$J$43, MATCH(K$1, 'User-Product'!$A$2:$A$43, 0), 0)
)</f>
        <v>0</v>
      </c>
      <c r="L16" s="51">
        <f t="array" ref="L16">SUMPRODUCT(
  'User-Product'!$B16:$J16,
  INDEX('User-Product'!$B$2:$J$43, MATCH(L$1, 'User-Product'!$A$2:$A$43, 0), 0)
)</f>
        <v>0</v>
      </c>
      <c r="M16" s="51">
        <f t="array" ref="M16">SUMPRODUCT(
  'User-Product'!$B16:$J16,
  INDEX('User-Product'!$B$2:$J$43, MATCH(M$1, 'User-Product'!$A$2:$A$43, 0), 0)
)</f>
        <v>0</v>
      </c>
      <c r="N16" s="51">
        <f t="array" ref="N16">SUMPRODUCT(
  'User-Product'!$B16:$J16,
  INDEX('User-Product'!$B$2:$J$43, MATCH(N$1, 'User-Product'!$A$2:$A$43, 0), 0)
)</f>
        <v>0</v>
      </c>
      <c r="O16" s="51">
        <f t="array" ref="O16">SUMPRODUCT(
  'User-Product'!$B16:$J16,
  INDEX('User-Product'!$B$2:$J$43, MATCH(O$1, 'User-Product'!$A$2:$A$43, 0), 0)
)</f>
        <v>0</v>
      </c>
      <c r="P16" s="51">
        <f t="array" ref="P16">SUMPRODUCT(
  'User-Product'!$B16:$J16,
  INDEX('User-Product'!$B$2:$J$43, MATCH(P$1, 'User-Product'!$A$2:$A$43, 0), 0)
)</f>
        <v>3</v>
      </c>
      <c r="Q16" s="51">
        <f t="array" ref="Q16">SUMPRODUCT(
  'User-Product'!$B16:$J16,
  INDEX('User-Product'!$B$2:$J$43, MATCH(Q$1, 'User-Product'!$A$2:$A$43, 0), 0)
)</f>
        <v>1</v>
      </c>
      <c r="R16" s="51">
        <f t="array" ref="R16">SUMPRODUCT(
  'User-Product'!$B16:$J16,
  INDEX('User-Product'!$B$2:$J$43, MATCH(R$1, 'User-Product'!$A$2:$A$43, 0), 0)
)</f>
        <v>1</v>
      </c>
      <c r="S16" s="51">
        <f t="array" ref="S16">SUMPRODUCT(
  'User-Product'!$B16:$J16,
  INDEX('User-Product'!$B$2:$J$43, MATCH(S$1, 'User-Product'!$A$2:$A$43, 0), 0)
)</f>
        <v>1</v>
      </c>
      <c r="T16" s="51">
        <f t="array" ref="T16">SUMPRODUCT(
  'User-Product'!$B16:$J16,
  INDEX('User-Product'!$B$2:$J$43, MATCH(T$1, 'User-Product'!$A$2:$A$43, 0), 0)
)</f>
        <v>2</v>
      </c>
      <c r="U16" s="51">
        <f t="array" ref="U16">SUMPRODUCT(
  'User-Product'!$B16:$J16,
  INDEX('User-Product'!$B$2:$J$43, MATCH(U$1, 'User-Product'!$A$2:$A$43, 0), 0)
)</f>
        <v>1</v>
      </c>
      <c r="V16" s="51">
        <f t="array" ref="V16">SUMPRODUCT(
  'User-Product'!$B16:$J16,
  INDEX('User-Product'!$B$2:$J$43, MATCH(V$1, 'User-Product'!$A$2:$A$43, 0), 0)
)</f>
        <v>0</v>
      </c>
      <c r="W16" s="51">
        <f t="array" ref="W16">SUMPRODUCT(
  'User-Product'!$B16:$J16,
  INDEX('User-Product'!$B$2:$J$43, MATCH(W$1, 'User-Product'!$A$2:$A$43, 0), 0)
)</f>
        <v>0</v>
      </c>
      <c r="X16" s="51">
        <f t="array" ref="X16">SUMPRODUCT(
  'User-Product'!$B16:$J16,
  INDEX('User-Product'!$B$2:$J$43, MATCH(X$1, 'User-Product'!$A$2:$A$43, 0), 0)
)</f>
        <v>0</v>
      </c>
      <c r="Y16" s="51">
        <f t="array" ref="Y16">SUMPRODUCT(
  'User-Product'!$B16:$J16,
  INDEX('User-Product'!$B$2:$J$43, MATCH(Y$1, 'User-Product'!$A$2:$A$43, 0), 0)
)</f>
        <v>0</v>
      </c>
      <c r="Z16" s="51">
        <f t="array" ref="Z16">SUMPRODUCT(
  'User-Product'!$B16:$J16,
  INDEX('User-Product'!$B$2:$J$43, MATCH(Z$1, 'User-Product'!$A$2:$A$43, 0), 0)
)</f>
        <v>0</v>
      </c>
      <c r="AA16" s="51">
        <f t="array" ref="AA16">SUMPRODUCT(
  'User-Product'!$B16:$J16,
  INDEX('User-Product'!$B$2:$J$43, MATCH(AA$1, 'User-Product'!$A$2:$A$43, 0), 0)
)</f>
        <v>0</v>
      </c>
      <c r="AB16" s="51">
        <f t="array" ref="AB16">SUMPRODUCT(
  'User-Product'!$B16:$J16,
  INDEX('User-Product'!$B$2:$J$43, MATCH(AB$1, 'User-Product'!$A$2:$A$43, 0), 0)
)</f>
        <v>1</v>
      </c>
      <c r="AC16" s="51">
        <f t="array" ref="AC16">SUMPRODUCT(
  'User-Product'!$B16:$J16,
  INDEX('User-Product'!$B$2:$J$43, MATCH(AC$1, 'User-Product'!$A$2:$A$43, 0), 0)
)</f>
        <v>1</v>
      </c>
      <c r="AD16" s="51">
        <f t="array" ref="AD16">SUMPRODUCT(
  'User-Product'!$B16:$J16,
  INDEX('User-Product'!$B$2:$J$43, MATCH(AD$1, 'User-Product'!$A$2:$A$43, 0), 0)
)</f>
        <v>2</v>
      </c>
      <c r="AE16" s="51">
        <f t="array" ref="AE16">SUMPRODUCT(
  'User-Product'!$B16:$J16,
  INDEX('User-Product'!$B$2:$J$43, MATCH(AE$1, 'User-Product'!$A$2:$A$43, 0), 0)
)</f>
        <v>0</v>
      </c>
      <c r="AF16" s="51">
        <f t="array" ref="AF16">SUMPRODUCT(
  'User-Product'!$B16:$J16,
  INDEX('User-Product'!$B$2:$J$43, MATCH(AF$1, 'User-Product'!$A$2:$A$43, 0), 0)
)</f>
        <v>3</v>
      </c>
      <c r="AG16" s="51">
        <f t="array" ref="AG16">SUMPRODUCT(
  'User-Product'!$B16:$J16,
  INDEX('User-Product'!$B$2:$J$43, MATCH(AG$1, 'User-Product'!$A$2:$A$43, 0), 0)
)</f>
        <v>2</v>
      </c>
      <c r="AH16" s="51">
        <f t="array" ref="AH16">SUMPRODUCT(
  'User-Product'!$B16:$J16,
  INDEX('User-Product'!$B$2:$J$43, MATCH(AH$1, 'User-Product'!$A$2:$A$43, 0), 0)
)</f>
        <v>1</v>
      </c>
      <c r="AI16" s="51">
        <f t="array" ref="AI16">SUMPRODUCT(
  'User-Product'!$B16:$J16,
  INDEX('User-Product'!$B$2:$J$43, MATCH(AI$1, 'User-Product'!$A$2:$A$43, 0), 0)
)</f>
        <v>1</v>
      </c>
      <c r="AJ16" s="51">
        <f t="array" ref="AJ16">SUMPRODUCT(
  'User-Product'!$B16:$J16,
  INDEX('User-Product'!$B$2:$J$43, MATCH(AJ$1, 'User-Product'!$A$2:$A$43, 0), 0)
)</f>
        <v>1</v>
      </c>
      <c r="AK16" s="51">
        <f t="array" ref="AK16">SUMPRODUCT(
  'User-Product'!$B16:$J16,
  INDEX('User-Product'!$B$2:$J$43, MATCH(AK$1, 'User-Product'!$A$2:$A$43, 0), 0)
)</f>
        <v>0</v>
      </c>
      <c r="AL16" s="51">
        <f t="array" ref="AL16">SUMPRODUCT(
  'User-Product'!$B16:$J16,
  INDEX('User-Product'!$B$2:$J$43, MATCH(AL$1, 'User-Product'!$A$2:$A$43, 0), 0)
)</f>
        <v>1</v>
      </c>
      <c r="AM16" s="51">
        <f t="array" ref="AM16">SUMPRODUCT(
  'User-Product'!$B16:$J16,
  INDEX('User-Product'!$B$2:$J$43, MATCH(AM$1, 'User-Product'!$A$2:$A$43, 0), 0)
)</f>
        <v>0</v>
      </c>
      <c r="AN16" s="51">
        <f t="array" ref="AN16">SUMPRODUCT(
  'User-Product'!$B16:$J16,
  INDEX('User-Product'!$B$2:$J$43, MATCH(AN$1, 'User-Product'!$A$2:$A$43, 0), 0)
)</f>
        <v>2</v>
      </c>
      <c r="AO16" s="51">
        <f t="array" ref="AO16">SUMPRODUCT(
  'User-Product'!$B16:$J16,
  INDEX('User-Product'!$B$2:$J$43, MATCH(AO$1, 'User-Product'!$A$2:$A$43, 0), 0)
)</f>
        <v>1</v>
      </c>
      <c r="AP16" s="51">
        <f t="array" ref="AP16">SUMPRODUCT(
  'User-Product'!$B16:$J16,
  INDEX('User-Product'!$B$2:$J$43, MATCH(AP$1, 'User-Product'!$A$2:$A$43, 0), 0)
)</f>
        <v>0</v>
      </c>
      <c r="AQ16" s="51">
        <f t="array" ref="AQ16">SUMPRODUCT(
  'User-Product'!$B16:$J16,
  INDEX('User-Product'!$B$2:$J$43, MATCH(AQ$1, 'User-Product'!$A$2:$A$43, 0), 0)
)</f>
        <v>3</v>
      </c>
      <c r="AR16" s="51"/>
      <c r="AS16" s="51"/>
      <c r="AT16" s="51"/>
      <c r="AU16" s="51"/>
      <c r="AV16" s="51"/>
      <c r="AW16" s="51"/>
      <c r="AX16" s="51"/>
      <c r="AY16" s="51"/>
    </row>
    <row r="17">
      <c r="A17" s="52" t="s">
        <v>77</v>
      </c>
      <c r="B17" s="51">
        <f t="array" ref="B17">SUMPRODUCT(
  'User-Product'!$B17:$J17,
  INDEX('User-Product'!$B$2:$J$43, MATCH(B$1, 'User-Product'!$A$2:$A$43, 0), 0)
)</f>
        <v>0</v>
      </c>
      <c r="C17" s="51">
        <f t="array" ref="C17">SUMPRODUCT(
  'User-Product'!$B17:$J17,
  INDEX('User-Product'!$B$2:$J$43, MATCH(C$1, 'User-Product'!$A$2:$A$43, 0), 0)
)</f>
        <v>0</v>
      </c>
      <c r="D17" s="51">
        <f t="array" ref="D17">SUMPRODUCT(
  'User-Product'!$B17:$J17,
  INDEX('User-Product'!$B$2:$J$43, MATCH(D$1, 'User-Product'!$A$2:$A$43, 0), 0)
)</f>
        <v>1</v>
      </c>
      <c r="E17" s="51">
        <f t="array" ref="E17">SUMPRODUCT(
  'User-Product'!$B17:$J17,
  INDEX('User-Product'!$B$2:$J$43, MATCH(E$1, 'User-Product'!$A$2:$A$43, 0), 0)
)</f>
        <v>0</v>
      </c>
      <c r="F17" s="51">
        <f t="array" ref="F17">SUMPRODUCT(
  'User-Product'!$B17:$J17,
  INDEX('User-Product'!$B$2:$J$43, MATCH(F$1, 'User-Product'!$A$2:$A$43, 0), 0)
)</f>
        <v>1</v>
      </c>
      <c r="G17" s="51">
        <f t="array" ref="G17">SUMPRODUCT(
  'User-Product'!$B17:$J17,
  INDEX('User-Product'!$B$2:$J$43, MATCH(G$1, 'User-Product'!$A$2:$A$43, 0), 0)
)</f>
        <v>0</v>
      </c>
      <c r="H17" s="51">
        <f t="array" ref="H17">SUMPRODUCT(
  'User-Product'!$B17:$J17,
  INDEX('User-Product'!$B$2:$J$43, MATCH(H$1, 'User-Product'!$A$2:$A$43, 0), 0)
)</f>
        <v>0</v>
      </c>
      <c r="I17" s="51">
        <f t="array" ref="I17">SUMPRODUCT(
  'User-Product'!$B17:$J17,
  INDEX('User-Product'!$B$2:$J$43, MATCH(I$1, 'User-Product'!$A$2:$A$43, 0), 0)
)</f>
        <v>0</v>
      </c>
      <c r="J17" s="51">
        <f t="array" ref="J17">SUMPRODUCT(
  'User-Product'!$B17:$J17,
  INDEX('User-Product'!$B$2:$J$43, MATCH(J$1, 'User-Product'!$A$2:$A$43, 0), 0)
)</f>
        <v>1</v>
      </c>
      <c r="K17" s="51">
        <f t="array" ref="K17">SUMPRODUCT(
  'User-Product'!$B17:$J17,
  INDEX('User-Product'!$B$2:$J$43, MATCH(K$1, 'User-Product'!$A$2:$A$43, 0), 0)
)</f>
        <v>0</v>
      </c>
      <c r="L17" s="51">
        <f t="array" ref="L17">SUMPRODUCT(
  'User-Product'!$B17:$J17,
  INDEX('User-Product'!$B$2:$J$43, MATCH(L$1, 'User-Product'!$A$2:$A$43, 0), 0)
)</f>
        <v>0</v>
      </c>
      <c r="M17" s="51">
        <f t="array" ref="M17">SUMPRODUCT(
  'User-Product'!$B17:$J17,
  INDEX('User-Product'!$B$2:$J$43, MATCH(M$1, 'User-Product'!$A$2:$A$43, 0), 0)
)</f>
        <v>0</v>
      </c>
      <c r="N17" s="51">
        <f t="array" ref="N17">SUMPRODUCT(
  'User-Product'!$B17:$J17,
  INDEX('User-Product'!$B$2:$J$43, MATCH(N$1, 'User-Product'!$A$2:$A$43, 0), 0)
)</f>
        <v>0</v>
      </c>
      <c r="O17" s="51">
        <f t="array" ref="O17">SUMPRODUCT(
  'User-Product'!$B17:$J17,
  INDEX('User-Product'!$B$2:$J$43, MATCH(O$1, 'User-Product'!$A$2:$A$43, 0), 0)
)</f>
        <v>0</v>
      </c>
      <c r="P17" s="51">
        <f t="array" ref="P17">SUMPRODUCT(
  'User-Product'!$B17:$J17,
  INDEX('User-Product'!$B$2:$J$43, MATCH(P$1, 'User-Product'!$A$2:$A$43, 0), 0)
)</f>
        <v>1</v>
      </c>
      <c r="Q17" s="51">
        <f t="array" ref="Q17">SUMPRODUCT(
  'User-Product'!$B17:$J17,
  INDEX('User-Product'!$B$2:$J$43, MATCH(Q$1, 'User-Product'!$A$2:$A$43, 0), 0)
)</f>
        <v>1</v>
      </c>
      <c r="R17" s="51">
        <f t="array" ref="R17">SUMPRODUCT(
  'User-Product'!$B17:$J17,
  INDEX('User-Product'!$B$2:$J$43, MATCH(R$1, 'User-Product'!$A$2:$A$43, 0), 0)
)</f>
        <v>1</v>
      </c>
      <c r="S17" s="51">
        <f t="array" ref="S17">SUMPRODUCT(
  'User-Product'!$B17:$J17,
  INDEX('User-Product'!$B$2:$J$43, MATCH(S$1, 'User-Product'!$A$2:$A$43, 0), 0)
)</f>
        <v>0</v>
      </c>
      <c r="T17" s="51">
        <f t="array" ref="T17">SUMPRODUCT(
  'User-Product'!$B17:$J17,
  INDEX('User-Product'!$B$2:$J$43, MATCH(T$1, 'User-Product'!$A$2:$A$43, 0), 0)
)</f>
        <v>0</v>
      </c>
      <c r="U17" s="51">
        <f t="array" ref="U17">SUMPRODUCT(
  'User-Product'!$B17:$J17,
  INDEX('User-Product'!$B$2:$J$43, MATCH(U$1, 'User-Product'!$A$2:$A$43, 0), 0)
)</f>
        <v>0</v>
      </c>
      <c r="V17" s="51">
        <f t="array" ref="V17">SUMPRODUCT(
  'User-Product'!$B17:$J17,
  INDEX('User-Product'!$B$2:$J$43, MATCH(V$1, 'User-Product'!$A$2:$A$43, 0), 0)
)</f>
        <v>0</v>
      </c>
      <c r="W17" s="51">
        <f t="array" ref="W17">SUMPRODUCT(
  'User-Product'!$B17:$J17,
  INDEX('User-Product'!$B$2:$J$43, MATCH(W$1, 'User-Product'!$A$2:$A$43, 0), 0)
)</f>
        <v>0</v>
      </c>
      <c r="X17" s="51">
        <f t="array" ref="X17">SUMPRODUCT(
  'User-Product'!$B17:$J17,
  INDEX('User-Product'!$B$2:$J$43, MATCH(X$1, 'User-Product'!$A$2:$A$43, 0), 0)
)</f>
        <v>0</v>
      </c>
      <c r="Y17" s="51">
        <f t="array" ref="Y17">SUMPRODUCT(
  'User-Product'!$B17:$J17,
  INDEX('User-Product'!$B$2:$J$43, MATCH(Y$1, 'User-Product'!$A$2:$A$43, 0), 0)
)</f>
        <v>0</v>
      </c>
      <c r="Z17" s="51">
        <f t="array" ref="Z17">SUMPRODUCT(
  'User-Product'!$B17:$J17,
  INDEX('User-Product'!$B$2:$J$43, MATCH(Z$1, 'User-Product'!$A$2:$A$43, 0), 0)
)</f>
        <v>0</v>
      </c>
      <c r="AA17" s="51">
        <f t="array" ref="AA17">SUMPRODUCT(
  'User-Product'!$B17:$J17,
  INDEX('User-Product'!$B$2:$J$43, MATCH(AA$1, 'User-Product'!$A$2:$A$43, 0), 0)
)</f>
        <v>0</v>
      </c>
      <c r="AB17" s="51">
        <f t="array" ref="AB17">SUMPRODUCT(
  'User-Product'!$B17:$J17,
  INDEX('User-Product'!$B$2:$J$43, MATCH(AB$1, 'User-Product'!$A$2:$A$43, 0), 0)
)</f>
        <v>0</v>
      </c>
      <c r="AC17" s="51">
        <f t="array" ref="AC17">SUMPRODUCT(
  'User-Product'!$B17:$J17,
  INDEX('User-Product'!$B$2:$J$43, MATCH(AC$1, 'User-Product'!$A$2:$A$43, 0), 0)
)</f>
        <v>1</v>
      </c>
      <c r="AD17" s="51">
        <f t="array" ref="AD17">SUMPRODUCT(
  'User-Product'!$B17:$J17,
  INDEX('User-Product'!$B$2:$J$43, MATCH(AD$1, 'User-Product'!$A$2:$A$43, 0), 0)
)</f>
        <v>1</v>
      </c>
      <c r="AE17" s="51">
        <f t="array" ref="AE17">SUMPRODUCT(
  'User-Product'!$B17:$J17,
  INDEX('User-Product'!$B$2:$J$43, MATCH(AE$1, 'User-Product'!$A$2:$A$43, 0), 0)
)</f>
        <v>0</v>
      </c>
      <c r="AF17" s="51">
        <f t="array" ref="AF17">SUMPRODUCT(
  'User-Product'!$B17:$J17,
  INDEX('User-Product'!$B$2:$J$43, MATCH(AF$1, 'User-Product'!$A$2:$A$43, 0), 0)
)</f>
        <v>1</v>
      </c>
      <c r="AG17" s="51">
        <f t="array" ref="AG17">SUMPRODUCT(
  'User-Product'!$B17:$J17,
  INDEX('User-Product'!$B$2:$J$43, MATCH(AG$1, 'User-Product'!$A$2:$A$43, 0), 0)
)</f>
        <v>1</v>
      </c>
      <c r="AH17" s="51">
        <f t="array" ref="AH17">SUMPRODUCT(
  'User-Product'!$B17:$J17,
  INDEX('User-Product'!$B$2:$J$43, MATCH(AH$1, 'User-Product'!$A$2:$A$43, 0), 0)
)</f>
        <v>0</v>
      </c>
      <c r="AI17" s="51">
        <f t="array" ref="AI17">SUMPRODUCT(
  'User-Product'!$B17:$J17,
  INDEX('User-Product'!$B$2:$J$43, MATCH(AI$1, 'User-Product'!$A$2:$A$43, 0), 0)
)</f>
        <v>0</v>
      </c>
      <c r="AJ17" s="51">
        <f t="array" ref="AJ17">SUMPRODUCT(
  'User-Product'!$B17:$J17,
  INDEX('User-Product'!$B$2:$J$43, MATCH(AJ$1, 'User-Product'!$A$2:$A$43, 0), 0)
)</f>
        <v>0</v>
      </c>
      <c r="AK17" s="51">
        <f t="array" ref="AK17">SUMPRODUCT(
  'User-Product'!$B17:$J17,
  INDEX('User-Product'!$B$2:$J$43, MATCH(AK$1, 'User-Product'!$A$2:$A$43, 0), 0)
)</f>
        <v>0</v>
      </c>
      <c r="AL17" s="51">
        <f t="array" ref="AL17">SUMPRODUCT(
  'User-Product'!$B17:$J17,
  INDEX('User-Product'!$B$2:$J$43, MATCH(AL$1, 'User-Product'!$A$2:$A$43, 0), 0)
)</f>
        <v>0</v>
      </c>
      <c r="AM17" s="51">
        <f t="array" ref="AM17">SUMPRODUCT(
  'User-Product'!$B17:$J17,
  INDEX('User-Product'!$B$2:$J$43, MATCH(AM$1, 'User-Product'!$A$2:$A$43, 0), 0)
)</f>
        <v>0</v>
      </c>
      <c r="AN17" s="51">
        <f t="array" ref="AN17">SUMPRODUCT(
  'User-Product'!$B17:$J17,
  INDEX('User-Product'!$B$2:$J$43, MATCH(AN$1, 'User-Product'!$A$2:$A$43, 0), 0)
)</f>
        <v>1</v>
      </c>
      <c r="AO17" s="51">
        <f t="array" ref="AO17">SUMPRODUCT(
  'User-Product'!$B17:$J17,
  INDEX('User-Product'!$B$2:$J$43, MATCH(AO$1, 'User-Product'!$A$2:$A$43, 0), 0)
)</f>
        <v>0</v>
      </c>
      <c r="AP17" s="51">
        <f t="array" ref="AP17">SUMPRODUCT(
  'User-Product'!$B17:$J17,
  INDEX('User-Product'!$B$2:$J$43, MATCH(AP$1, 'User-Product'!$A$2:$A$43, 0), 0)
)</f>
        <v>0</v>
      </c>
      <c r="AQ17" s="51">
        <f t="array" ref="AQ17">SUMPRODUCT(
  'User-Product'!$B17:$J17,
  INDEX('User-Product'!$B$2:$J$43, MATCH(AQ$1, 'User-Product'!$A$2:$A$43, 0), 0)
)</f>
        <v>1</v>
      </c>
      <c r="AR17" s="51"/>
      <c r="AS17" s="51"/>
      <c r="AT17" s="51"/>
      <c r="AU17" s="51"/>
      <c r="AV17" s="51"/>
      <c r="AW17" s="51"/>
      <c r="AX17" s="51"/>
      <c r="AY17" s="51"/>
    </row>
    <row r="18">
      <c r="A18" s="52" t="s">
        <v>78</v>
      </c>
      <c r="B18" s="51">
        <f t="array" ref="B18">SUMPRODUCT(
  'User-Product'!$B18:$J18,
  INDEX('User-Product'!$B$2:$J$43, MATCH(B$1, 'User-Product'!$A$2:$A$43, 0), 0)
)</f>
        <v>1</v>
      </c>
      <c r="C18" s="51">
        <f t="array" ref="C18">SUMPRODUCT(
  'User-Product'!$B18:$J18,
  INDEX('User-Product'!$B$2:$J$43, MATCH(C$1, 'User-Product'!$A$2:$A$43, 0), 0)
)</f>
        <v>0</v>
      </c>
      <c r="D18" s="51">
        <f t="array" ref="D18">SUMPRODUCT(
  'User-Product'!$B18:$J18,
  INDEX('User-Product'!$B$2:$J$43, MATCH(D$1, 'User-Product'!$A$2:$A$43, 0), 0)
)</f>
        <v>2</v>
      </c>
      <c r="E18" s="51">
        <f t="array" ref="E18">SUMPRODUCT(
  'User-Product'!$B18:$J18,
  INDEX('User-Product'!$B$2:$J$43, MATCH(E$1, 'User-Product'!$A$2:$A$43, 0), 0)
)</f>
        <v>0</v>
      </c>
      <c r="F18" s="51">
        <f t="array" ref="F18">SUMPRODUCT(
  'User-Product'!$B18:$J18,
  INDEX('User-Product'!$B$2:$J$43, MATCH(F$1, 'User-Product'!$A$2:$A$43, 0), 0)
)</f>
        <v>2</v>
      </c>
      <c r="G18" s="51">
        <f t="array" ref="G18">SUMPRODUCT(
  'User-Product'!$B18:$J18,
  INDEX('User-Product'!$B$2:$J$43, MATCH(G$1, 'User-Product'!$A$2:$A$43, 0), 0)
)</f>
        <v>1</v>
      </c>
      <c r="H18" s="51">
        <f t="array" ref="H18">SUMPRODUCT(
  'User-Product'!$B18:$J18,
  INDEX('User-Product'!$B$2:$J$43, MATCH(H$1, 'User-Product'!$A$2:$A$43, 0), 0)
)</f>
        <v>1</v>
      </c>
      <c r="I18" s="51">
        <f t="array" ref="I18">SUMPRODUCT(
  'User-Product'!$B18:$J18,
  INDEX('User-Product'!$B$2:$J$43, MATCH(I$1, 'User-Product'!$A$2:$A$43, 0), 0)
)</f>
        <v>1</v>
      </c>
      <c r="J18" s="51">
        <f t="array" ref="J18">SUMPRODUCT(
  'User-Product'!$B18:$J18,
  INDEX('User-Product'!$B$2:$J$43, MATCH(J$1, 'User-Product'!$A$2:$A$43, 0), 0)
)</f>
        <v>2</v>
      </c>
      <c r="K18" s="51">
        <f t="array" ref="K18">SUMPRODUCT(
  'User-Product'!$B18:$J18,
  INDEX('User-Product'!$B$2:$J$43, MATCH(K$1, 'User-Product'!$A$2:$A$43, 0), 0)
)</f>
        <v>1</v>
      </c>
      <c r="L18" s="51">
        <f t="array" ref="L18">SUMPRODUCT(
  'User-Product'!$B18:$J18,
  INDEX('User-Product'!$B$2:$J$43, MATCH(L$1, 'User-Product'!$A$2:$A$43, 0), 0)
)</f>
        <v>1</v>
      </c>
      <c r="M18" s="51">
        <f t="array" ref="M18">SUMPRODUCT(
  'User-Product'!$B18:$J18,
  INDEX('User-Product'!$B$2:$J$43, MATCH(M$1, 'User-Product'!$A$2:$A$43, 0), 0)
)</f>
        <v>0</v>
      </c>
      <c r="N18" s="51">
        <f t="array" ref="N18">SUMPRODUCT(
  'User-Product'!$B18:$J18,
  INDEX('User-Product'!$B$2:$J$43, MATCH(N$1, 'User-Product'!$A$2:$A$43, 0), 0)
)</f>
        <v>1</v>
      </c>
      <c r="O18" s="51">
        <f t="array" ref="O18">SUMPRODUCT(
  'User-Product'!$B18:$J18,
  INDEX('User-Product'!$B$2:$J$43, MATCH(O$1, 'User-Product'!$A$2:$A$43, 0), 0)
)</f>
        <v>0</v>
      </c>
      <c r="P18" s="51">
        <f t="array" ref="P18">SUMPRODUCT(
  'User-Product'!$B18:$J18,
  INDEX('User-Product'!$B$2:$J$43, MATCH(P$1, 'User-Product'!$A$2:$A$43, 0), 0)
)</f>
        <v>1</v>
      </c>
      <c r="Q18" s="51">
        <f t="array" ref="Q18">SUMPRODUCT(
  'User-Product'!$B18:$J18,
  INDEX('User-Product'!$B$2:$J$43, MATCH(Q$1, 'User-Product'!$A$2:$A$43, 0), 0)
)</f>
        <v>1</v>
      </c>
      <c r="R18" s="51">
        <f t="array" ref="R18">SUMPRODUCT(
  'User-Product'!$B18:$J18,
  INDEX('User-Product'!$B$2:$J$43, MATCH(R$1, 'User-Product'!$A$2:$A$43, 0), 0)
)</f>
        <v>2</v>
      </c>
      <c r="S18" s="51">
        <f t="array" ref="S18">SUMPRODUCT(
  'User-Product'!$B18:$J18,
  INDEX('User-Product'!$B$2:$J$43, MATCH(S$1, 'User-Product'!$A$2:$A$43, 0), 0)
)</f>
        <v>0</v>
      </c>
      <c r="T18" s="51">
        <f t="array" ref="T18">SUMPRODUCT(
  'User-Product'!$B18:$J18,
  INDEX('User-Product'!$B$2:$J$43, MATCH(T$1, 'User-Product'!$A$2:$A$43, 0), 0)
)</f>
        <v>0</v>
      </c>
      <c r="U18" s="51">
        <f t="array" ref="U18">SUMPRODUCT(
  'User-Product'!$B18:$J18,
  INDEX('User-Product'!$B$2:$J$43, MATCH(U$1, 'User-Product'!$A$2:$A$43, 0), 0)
)</f>
        <v>0</v>
      </c>
      <c r="V18" s="51">
        <f t="array" ref="V18">SUMPRODUCT(
  'User-Product'!$B18:$J18,
  INDEX('User-Product'!$B$2:$J$43, MATCH(V$1, 'User-Product'!$A$2:$A$43, 0), 0)
)</f>
        <v>0</v>
      </c>
      <c r="W18" s="51">
        <f t="array" ref="W18">SUMPRODUCT(
  'User-Product'!$B18:$J18,
  INDEX('User-Product'!$B$2:$J$43, MATCH(W$1, 'User-Product'!$A$2:$A$43, 0), 0)
)</f>
        <v>0</v>
      </c>
      <c r="X18" s="51">
        <f t="array" ref="X18">SUMPRODUCT(
  'User-Product'!$B18:$J18,
  INDEX('User-Product'!$B$2:$J$43, MATCH(X$1, 'User-Product'!$A$2:$A$43, 0), 0)
)</f>
        <v>0</v>
      </c>
      <c r="Y18" s="51">
        <f t="array" ref="Y18">SUMPRODUCT(
  'User-Product'!$B18:$J18,
  INDEX('User-Product'!$B$2:$J$43, MATCH(Y$1, 'User-Product'!$A$2:$A$43, 0), 0)
)</f>
        <v>1</v>
      </c>
      <c r="Z18" s="51">
        <f t="array" ref="Z18">SUMPRODUCT(
  'User-Product'!$B18:$J18,
  INDEX('User-Product'!$B$2:$J$43, MATCH(Z$1, 'User-Product'!$A$2:$A$43, 0), 0)
)</f>
        <v>0</v>
      </c>
      <c r="AA18" s="51">
        <f t="array" ref="AA18">SUMPRODUCT(
  'User-Product'!$B18:$J18,
  INDEX('User-Product'!$B$2:$J$43, MATCH(AA$1, 'User-Product'!$A$2:$A$43, 0), 0)
)</f>
        <v>0</v>
      </c>
      <c r="AB18" s="51">
        <f t="array" ref="AB18">SUMPRODUCT(
  'User-Product'!$B18:$J18,
  INDEX('User-Product'!$B$2:$J$43, MATCH(AB$1, 'User-Product'!$A$2:$A$43, 0), 0)
)</f>
        <v>1</v>
      </c>
      <c r="AC18" s="51">
        <f t="array" ref="AC18">SUMPRODUCT(
  'User-Product'!$B18:$J18,
  INDEX('User-Product'!$B$2:$J$43, MATCH(AC$1, 'User-Product'!$A$2:$A$43, 0), 0)
)</f>
        <v>2</v>
      </c>
      <c r="AD18" s="51">
        <f t="array" ref="AD18">SUMPRODUCT(
  'User-Product'!$B18:$J18,
  INDEX('User-Product'!$B$2:$J$43, MATCH(AD$1, 'User-Product'!$A$2:$A$43, 0), 0)
)</f>
        <v>2</v>
      </c>
      <c r="AE18" s="51">
        <f t="array" ref="AE18">SUMPRODUCT(
  'User-Product'!$B18:$J18,
  INDEX('User-Product'!$B$2:$J$43, MATCH(AE$1, 'User-Product'!$A$2:$A$43, 0), 0)
)</f>
        <v>1</v>
      </c>
      <c r="AF18" s="51">
        <f t="array" ref="AF18">SUMPRODUCT(
  'User-Product'!$B18:$J18,
  INDEX('User-Product'!$B$2:$J$43, MATCH(AF$1, 'User-Product'!$A$2:$A$43, 0), 0)
)</f>
        <v>2</v>
      </c>
      <c r="AG18" s="51">
        <f t="array" ref="AG18">SUMPRODUCT(
  'User-Product'!$B18:$J18,
  INDEX('User-Product'!$B$2:$J$43, MATCH(AG$1, 'User-Product'!$A$2:$A$43, 0), 0)
)</f>
        <v>1</v>
      </c>
      <c r="AH18" s="51">
        <f t="array" ref="AH18">SUMPRODUCT(
  'User-Product'!$B18:$J18,
  INDEX('User-Product'!$B$2:$J$43, MATCH(AH$1, 'User-Product'!$A$2:$A$43, 0), 0)
)</f>
        <v>0</v>
      </c>
      <c r="AI18" s="51">
        <f t="array" ref="AI18">SUMPRODUCT(
  'User-Product'!$B18:$J18,
  INDEX('User-Product'!$B$2:$J$43, MATCH(AI$1, 'User-Product'!$A$2:$A$43, 0), 0)
)</f>
        <v>0</v>
      </c>
      <c r="AJ18" s="51">
        <f t="array" ref="AJ18">SUMPRODUCT(
  'User-Product'!$B18:$J18,
  INDEX('User-Product'!$B$2:$J$43, MATCH(AJ$1, 'User-Product'!$A$2:$A$43, 0), 0)
)</f>
        <v>0</v>
      </c>
      <c r="AK18" s="51">
        <f t="array" ref="AK18">SUMPRODUCT(
  'User-Product'!$B18:$J18,
  INDEX('User-Product'!$B$2:$J$43, MATCH(AK$1, 'User-Product'!$A$2:$A$43, 0), 0)
)</f>
        <v>0</v>
      </c>
      <c r="AL18" s="51">
        <f t="array" ref="AL18">SUMPRODUCT(
  'User-Product'!$B18:$J18,
  INDEX('User-Product'!$B$2:$J$43, MATCH(AL$1, 'User-Product'!$A$2:$A$43, 0), 0)
)</f>
        <v>1</v>
      </c>
      <c r="AM18" s="51">
        <f t="array" ref="AM18">SUMPRODUCT(
  'User-Product'!$B18:$J18,
  INDEX('User-Product'!$B$2:$J$43, MATCH(AM$1, 'User-Product'!$A$2:$A$43, 0), 0)
)</f>
        <v>0</v>
      </c>
      <c r="AN18" s="51">
        <f t="array" ref="AN18">SUMPRODUCT(
  'User-Product'!$B18:$J18,
  INDEX('User-Product'!$B$2:$J$43, MATCH(AN$1, 'User-Product'!$A$2:$A$43, 0), 0)
)</f>
        <v>2</v>
      </c>
      <c r="AO18" s="51">
        <f t="array" ref="AO18">SUMPRODUCT(
  'User-Product'!$B18:$J18,
  INDEX('User-Product'!$B$2:$J$43, MATCH(AO$1, 'User-Product'!$A$2:$A$43, 0), 0)
)</f>
        <v>0</v>
      </c>
      <c r="AP18" s="51">
        <f t="array" ref="AP18">SUMPRODUCT(
  'User-Product'!$B18:$J18,
  INDEX('User-Product'!$B$2:$J$43, MATCH(AP$1, 'User-Product'!$A$2:$A$43, 0), 0)
)</f>
        <v>1</v>
      </c>
      <c r="AQ18" s="51">
        <f t="array" ref="AQ18">SUMPRODUCT(
  'User-Product'!$B18:$J18,
  INDEX('User-Product'!$B$2:$J$43, MATCH(AQ$1, 'User-Product'!$A$2:$A$43, 0), 0)
)</f>
        <v>2</v>
      </c>
      <c r="AR18" s="51"/>
      <c r="AS18" s="51"/>
      <c r="AT18" s="51"/>
      <c r="AU18" s="51"/>
      <c r="AV18" s="51"/>
      <c r="AW18" s="51"/>
      <c r="AX18" s="51"/>
      <c r="AY18" s="51"/>
    </row>
    <row r="19">
      <c r="A19" s="52" t="s">
        <v>79</v>
      </c>
      <c r="B19" s="51">
        <f t="array" ref="B19">SUMPRODUCT(
  'User-Product'!$B19:$J19,
  INDEX('User-Product'!$B$2:$J$43, MATCH(B$1, 'User-Product'!$A$2:$A$43, 0), 0)
)</f>
        <v>1</v>
      </c>
      <c r="C19" s="51">
        <f t="array" ref="C19">SUMPRODUCT(
  'User-Product'!$B19:$J19,
  INDEX('User-Product'!$B$2:$J$43, MATCH(C$1, 'User-Product'!$A$2:$A$43, 0), 0)
)</f>
        <v>1</v>
      </c>
      <c r="D19" s="51">
        <f t="array" ref="D19">SUMPRODUCT(
  'User-Product'!$B19:$J19,
  INDEX('User-Product'!$B$2:$J$43, MATCH(D$1, 'User-Product'!$A$2:$A$43, 0), 0)
)</f>
        <v>0</v>
      </c>
      <c r="E19" s="51">
        <f t="array" ref="E19">SUMPRODUCT(
  'User-Product'!$B19:$J19,
  INDEX('User-Product'!$B$2:$J$43, MATCH(E$1, 'User-Product'!$A$2:$A$43, 0), 0)
)</f>
        <v>1</v>
      </c>
      <c r="F19" s="51">
        <f t="array" ref="F19">SUMPRODUCT(
  'User-Product'!$B19:$J19,
  INDEX('User-Product'!$B$2:$J$43, MATCH(F$1, 'User-Product'!$A$2:$A$43, 0), 0)
)</f>
        <v>3</v>
      </c>
      <c r="G19" s="51">
        <f t="array" ref="G19">SUMPRODUCT(
  'User-Product'!$B19:$J19,
  INDEX('User-Product'!$B$2:$J$43, MATCH(G$1, 'User-Product'!$A$2:$A$43, 0), 0)
)</f>
        <v>0</v>
      </c>
      <c r="H19" s="51">
        <f t="array" ref="H19">SUMPRODUCT(
  'User-Product'!$B19:$J19,
  INDEX('User-Product'!$B$2:$J$43, MATCH(H$1, 'User-Product'!$A$2:$A$43, 0), 0)
)</f>
        <v>3</v>
      </c>
      <c r="I19" s="51">
        <f t="array" ref="I19">SUMPRODUCT(
  'User-Product'!$B19:$J19,
  INDEX('User-Product'!$B$2:$J$43, MATCH(I$1, 'User-Product'!$A$2:$A$43, 0), 0)
)</f>
        <v>2</v>
      </c>
      <c r="J19" s="51">
        <f t="array" ref="J19">SUMPRODUCT(
  'User-Product'!$B19:$J19,
  INDEX('User-Product'!$B$2:$J$43, MATCH(J$1, 'User-Product'!$A$2:$A$43, 0), 0)
)</f>
        <v>2</v>
      </c>
      <c r="K19" s="51">
        <f t="array" ref="K19">SUMPRODUCT(
  'User-Product'!$B19:$J19,
  INDEX('User-Product'!$B$2:$J$43, MATCH(K$1, 'User-Product'!$A$2:$A$43, 0), 0)
)</f>
        <v>0</v>
      </c>
      <c r="L19" s="51">
        <f t="array" ref="L19">SUMPRODUCT(
  'User-Product'!$B19:$J19,
  INDEX('User-Product'!$B$2:$J$43, MATCH(L$1, 'User-Product'!$A$2:$A$43, 0), 0)
)</f>
        <v>0</v>
      </c>
      <c r="M19" s="51">
        <f t="array" ref="M19">SUMPRODUCT(
  'User-Product'!$B19:$J19,
  INDEX('User-Product'!$B$2:$J$43, MATCH(M$1, 'User-Product'!$A$2:$A$43, 0), 0)
)</f>
        <v>1</v>
      </c>
      <c r="N19" s="51">
        <f t="array" ref="N19">SUMPRODUCT(
  'User-Product'!$B19:$J19,
  INDEX('User-Product'!$B$2:$J$43, MATCH(N$1, 'User-Product'!$A$2:$A$43, 0), 0)
)</f>
        <v>0</v>
      </c>
      <c r="O19" s="51">
        <f t="array" ref="O19">SUMPRODUCT(
  'User-Product'!$B19:$J19,
  INDEX('User-Product'!$B$2:$J$43, MATCH(O$1, 'User-Product'!$A$2:$A$43, 0), 0)
)</f>
        <v>0</v>
      </c>
      <c r="P19" s="51">
        <f t="array" ref="P19">SUMPRODUCT(
  'User-Product'!$B19:$J19,
  INDEX('User-Product'!$B$2:$J$43, MATCH(P$1, 'User-Product'!$A$2:$A$43, 0), 0)
)</f>
        <v>1</v>
      </c>
      <c r="Q19" s="51">
        <f t="array" ref="Q19">SUMPRODUCT(
  'User-Product'!$B19:$J19,
  INDEX('User-Product'!$B$2:$J$43, MATCH(Q$1, 'User-Product'!$A$2:$A$43, 0), 0)
)</f>
        <v>0</v>
      </c>
      <c r="R19" s="51">
        <f t="array" ref="R19">SUMPRODUCT(
  'User-Product'!$B19:$J19,
  INDEX('User-Product'!$B$2:$J$43, MATCH(R$1, 'User-Product'!$A$2:$A$43, 0), 0)
)</f>
        <v>0</v>
      </c>
      <c r="S19" s="51">
        <f t="array" ref="S19">SUMPRODUCT(
  'User-Product'!$B19:$J19,
  INDEX('User-Product'!$B$2:$J$43, MATCH(S$1, 'User-Product'!$A$2:$A$43, 0), 0)
)</f>
        <v>3</v>
      </c>
      <c r="T19" s="51">
        <f t="array" ref="T19">SUMPRODUCT(
  'User-Product'!$B19:$J19,
  INDEX('User-Product'!$B$2:$J$43, MATCH(T$1, 'User-Product'!$A$2:$A$43, 0), 0)
)</f>
        <v>3</v>
      </c>
      <c r="U19" s="51">
        <f t="array" ref="U19">SUMPRODUCT(
  'User-Product'!$B19:$J19,
  INDEX('User-Product'!$B$2:$J$43, MATCH(U$1, 'User-Product'!$A$2:$A$43, 0), 0)
)</f>
        <v>3</v>
      </c>
      <c r="V19" s="51">
        <f t="array" ref="V19">SUMPRODUCT(
  'User-Product'!$B19:$J19,
  INDEX('User-Product'!$B$2:$J$43, MATCH(V$1, 'User-Product'!$A$2:$A$43, 0), 0)
)</f>
        <v>0</v>
      </c>
      <c r="W19" s="51">
        <f t="array" ref="W19">SUMPRODUCT(
  'User-Product'!$B19:$J19,
  INDEX('User-Product'!$B$2:$J$43, MATCH(W$1, 'User-Product'!$A$2:$A$43, 0), 0)
)</f>
        <v>1</v>
      </c>
      <c r="X19" s="51">
        <f t="array" ref="X19">SUMPRODUCT(
  'User-Product'!$B19:$J19,
  INDEX('User-Product'!$B$2:$J$43, MATCH(X$1, 'User-Product'!$A$2:$A$43, 0), 0)
)</f>
        <v>1</v>
      </c>
      <c r="Y19" s="51">
        <f t="array" ref="Y19">SUMPRODUCT(
  'User-Product'!$B19:$J19,
  INDEX('User-Product'!$B$2:$J$43, MATCH(Y$1, 'User-Product'!$A$2:$A$43, 0), 0)
)</f>
        <v>0</v>
      </c>
      <c r="Z19" s="51">
        <f t="array" ref="Z19">SUMPRODUCT(
  'User-Product'!$B19:$J19,
  INDEX('User-Product'!$B$2:$J$43, MATCH(Z$1, 'User-Product'!$A$2:$A$43, 0), 0)
)</f>
        <v>1</v>
      </c>
      <c r="AA19" s="51">
        <f t="array" ref="AA19">SUMPRODUCT(
  'User-Product'!$B19:$J19,
  INDEX('User-Product'!$B$2:$J$43, MATCH(AA$1, 'User-Product'!$A$2:$A$43, 0), 0)
)</f>
        <v>1</v>
      </c>
      <c r="AB19" s="51">
        <f t="array" ref="AB19">SUMPRODUCT(
  'User-Product'!$B19:$J19,
  INDEX('User-Product'!$B$2:$J$43, MATCH(AB$1, 'User-Product'!$A$2:$A$43, 0), 0)
)</f>
        <v>2</v>
      </c>
      <c r="AC19" s="51">
        <f t="array" ref="AC19">SUMPRODUCT(
  'User-Product'!$B19:$J19,
  INDEX('User-Product'!$B$2:$J$43, MATCH(AC$1, 'User-Product'!$A$2:$A$43, 0), 0)
)</f>
        <v>1</v>
      </c>
      <c r="AD19" s="51">
        <f t="array" ref="AD19">SUMPRODUCT(
  'User-Product'!$B19:$J19,
  INDEX('User-Product'!$B$2:$J$43, MATCH(AD$1, 'User-Product'!$A$2:$A$43, 0), 0)
)</f>
        <v>1</v>
      </c>
      <c r="AE19" s="51">
        <f t="array" ref="AE19">SUMPRODUCT(
  'User-Product'!$B19:$J19,
  INDEX('User-Product'!$B$2:$J$43, MATCH(AE$1, 'User-Product'!$A$2:$A$43, 0), 0)
)</f>
        <v>1</v>
      </c>
      <c r="AF19" s="51">
        <f t="array" ref="AF19">SUMPRODUCT(
  'User-Product'!$B19:$J19,
  INDEX('User-Product'!$B$2:$J$43, MATCH(AF$1, 'User-Product'!$A$2:$A$43, 0), 0)
)</f>
        <v>3</v>
      </c>
      <c r="AG19" s="51">
        <f t="array" ref="AG19">SUMPRODUCT(
  'User-Product'!$B19:$J19,
  INDEX('User-Product'!$B$2:$J$43, MATCH(AG$1, 'User-Product'!$A$2:$A$43, 0), 0)
)</f>
        <v>1</v>
      </c>
      <c r="AH19" s="51">
        <f t="array" ref="AH19">SUMPRODUCT(
  'User-Product'!$B19:$J19,
  INDEX('User-Product'!$B$2:$J$43, MATCH(AH$1, 'User-Product'!$A$2:$A$43, 0), 0)
)</f>
        <v>1</v>
      </c>
      <c r="AI19" s="51">
        <f t="array" ref="AI19">SUMPRODUCT(
  'User-Product'!$B19:$J19,
  INDEX('User-Product'!$B$2:$J$43, MATCH(AI$1, 'User-Product'!$A$2:$A$43, 0), 0)
)</f>
        <v>1</v>
      </c>
      <c r="AJ19" s="51">
        <f t="array" ref="AJ19">SUMPRODUCT(
  'User-Product'!$B19:$J19,
  INDEX('User-Product'!$B$2:$J$43, MATCH(AJ$1, 'User-Product'!$A$2:$A$43, 0), 0)
)</f>
        <v>1</v>
      </c>
      <c r="AK19" s="51">
        <f t="array" ref="AK19">SUMPRODUCT(
  'User-Product'!$B19:$J19,
  INDEX('User-Product'!$B$2:$J$43, MATCH(AK$1, 'User-Product'!$A$2:$A$43, 0), 0)
)</f>
        <v>1</v>
      </c>
      <c r="AL19" s="51">
        <f t="array" ref="AL19">SUMPRODUCT(
  'User-Product'!$B19:$J19,
  INDEX('User-Product'!$B$2:$J$43, MATCH(AL$1, 'User-Product'!$A$2:$A$43, 0), 0)
)</f>
        <v>1</v>
      </c>
      <c r="AM19" s="51">
        <f t="array" ref="AM19">SUMPRODUCT(
  'User-Product'!$B19:$J19,
  INDEX('User-Product'!$B$2:$J$43, MATCH(AM$1, 'User-Product'!$A$2:$A$43, 0), 0)
)</f>
        <v>1</v>
      </c>
      <c r="AN19" s="51">
        <f t="array" ref="AN19">SUMPRODUCT(
  'User-Product'!$B19:$J19,
  INDEX('User-Product'!$B$2:$J$43, MATCH(AN$1, 'User-Product'!$A$2:$A$43, 0), 0)
)</f>
        <v>3</v>
      </c>
      <c r="AO19" s="51">
        <f t="array" ref="AO19">SUMPRODUCT(
  'User-Product'!$B19:$J19,
  INDEX('User-Product'!$B$2:$J$43, MATCH(AO$1, 'User-Product'!$A$2:$A$43, 0), 0)
)</f>
        <v>1</v>
      </c>
      <c r="AP19" s="51">
        <f t="array" ref="AP19">SUMPRODUCT(
  'User-Product'!$B19:$J19,
  INDEX('User-Product'!$B$2:$J$43, MATCH(AP$1, 'User-Product'!$A$2:$A$43, 0), 0)
)</f>
        <v>1</v>
      </c>
      <c r="AQ19" s="51">
        <f t="array" ref="AQ19">SUMPRODUCT(
  'User-Product'!$B19:$J19,
  INDEX('User-Product'!$B$2:$J$43, MATCH(AQ$1, 'User-Product'!$A$2:$A$43, 0), 0)
)</f>
        <v>1</v>
      </c>
      <c r="AR19" s="51"/>
      <c r="AS19" s="51"/>
      <c r="AT19" s="51"/>
      <c r="AU19" s="51"/>
      <c r="AV19" s="51"/>
      <c r="AW19" s="51"/>
      <c r="AX19" s="51"/>
      <c r="AY19" s="51"/>
    </row>
    <row r="20">
      <c r="A20" s="52" t="s">
        <v>80</v>
      </c>
      <c r="B20" s="51">
        <f t="array" ref="B20">SUMPRODUCT(
  'User-Product'!$B20:$J20,
  INDEX('User-Product'!$B$2:$J$43, MATCH(B$1, 'User-Product'!$A$2:$A$43, 0), 0)
)</f>
        <v>2</v>
      </c>
      <c r="C20" s="51">
        <f t="array" ref="C20">SUMPRODUCT(
  'User-Product'!$B20:$J20,
  INDEX('User-Product'!$B$2:$J$43, MATCH(C$1, 'User-Product'!$A$2:$A$43, 0), 0)
)</f>
        <v>2</v>
      </c>
      <c r="D20" s="51">
        <f t="array" ref="D20">SUMPRODUCT(
  'User-Product'!$B20:$J20,
  INDEX('User-Product'!$B$2:$J$43, MATCH(D$1, 'User-Product'!$A$2:$A$43, 0), 0)
)</f>
        <v>0</v>
      </c>
      <c r="E20" s="51">
        <f t="array" ref="E20">SUMPRODUCT(
  'User-Product'!$B20:$J20,
  INDEX('User-Product'!$B$2:$J$43, MATCH(E$1, 'User-Product'!$A$2:$A$43, 0), 0)
)</f>
        <v>1</v>
      </c>
      <c r="F20" s="51">
        <f t="array" ref="F20">SUMPRODUCT(
  'User-Product'!$B20:$J20,
  INDEX('User-Product'!$B$2:$J$43, MATCH(F$1, 'User-Product'!$A$2:$A$43, 0), 0)
)</f>
        <v>6</v>
      </c>
      <c r="G20" s="51">
        <f t="array" ref="G20">SUMPRODUCT(
  'User-Product'!$B20:$J20,
  INDEX('User-Product'!$B$2:$J$43, MATCH(G$1, 'User-Product'!$A$2:$A$43, 0), 0)
)</f>
        <v>0</v>
      </c>
      <c r="H20" s="51">
        <f t="array" ref="H20">SUMPRODUCT(
  'User-Product'!$B20:$J20,
  INDEX('User-Product'!$B$2:$J$43, MATCH(H$1, 'User-Product'!$A$2:$A$43, 0), 0)
)</f>
        <v>4</v>
      </c>
      <c r="I20" s="51">
        <f t="array" ref="I20">SUMPRODUCT(
  'User-Product'!$B20:$J20,
  INDEX('User-Product'!$B$2:$J$43, MATCH(I$1, 'User-Product'!$A$2:$A$43, 0), 0)
)</f>
        <v>2</v>
      </c>
      <c r="J20" s="51">
        <f t="array" ref="J20">SUMPRODUCT(
  'User-Product'!$B20:$J20,
  INDEX('User-Product'!$B$2:$J$43, MATCH(J$1, 'User-Product'!$A$2:$A$43, 0), 0)
)</f>
        <v>3</v>
      </c>
      <c r="K20" s="51">
        <f t="array" ref="K20">SUMPRODUCT(
  'User-Product'!$B20:$J20,
  INDEX('User-Product'!$B$2:$J$43, MATCH(K$1, 'User-Product'!$A$2:$A$43, 0), 0)
)</f>
        <v>1</v>
      </c>
      <c r="L20" s="51">
        <f t="array" ref="L20">SUMPRODUCT(
  'User-Product'!$B20:$J20,
  INDEX('User-Product'!$B$2:$J$43, MATCH(L$1, 'User-Product'!$A$2:$A$43, 0), 0)
)</f>
        <v>0</v>
      </c>
      <c r="M20" s="51">
        <f t="array" ref="M20">SUMPRODUCT(
  'User-Product'!$B20:$J20,
  INDEX('User-Product'!$B$2:$J$43, MATCH(M$1, 'User-Product'!$A$2:$A$43, 0), 0)
)</f>
        <v>1</v>
      </c>
      <c r="N20" s="51">
        <f t="array" ref="N20">SUMPRODUCT(
  'User-Product'!$B20:$J20,
  INDEX('User-Product'!$B$2:$J$43, MATCH(N$1, 'User-Product'!$A$2:$A$43, 0), 0)
)</f>
        <v>0</v>
      </c>
      <c r="O20" s="51">
        <f t="array" ref="O20">SUMPRODUCT(
  'User-Product'!$B20:$J20,
  INDEX('User-Product'!$B$2:$J$43, MATCH(O$1, 'User-Product'!$A$2:$A$43, 0), 0)
)</f>
        <v>1</v>
      </c>
      <c r="P20" s="51">
        <f t="array" ref="P20">SUMPRODUCT(
  'User-Product'!$B20:$J20,
  INDEX('User-Product'!$B$2:$J$43, MATCH(P$1, 'User-Product'!$A$2:$A$43, 0), 0)
)</f>
        <v>2</v>
      </c>
      <c r="Q20" s="51">
        <f t="array" ref="Q20">SUMPRODUCT(
  'User-Product'!$B20:$J20,
  INDEX('User-Product'!$B$2:$J$43, MATCH(Q$1, 'User-Product'!$A$2:$A$43, 0), 0)
)</f>
        <v>0</v>
      </c>
      <c r="R20" s="51">
        <f t="array" ref="R20">SUMPRODUCT(
  'User-Product'!$B20:$J20,
  INDEX('User-Product'!$B$2:$J$43, MATCH(R$1, 'User-Product'!$A$2:$A$43, 0), 0)
)</f>
        <v>0</v>
      </c>
      <c r="S20" s="51">
        <f t="array" ref="S20">SUMPRODUCT(
  'User-Product'!$B20:$J20,
  INDEX('User-Product'!$B$2:$J$43, MATCH(S$1, 'User-Product'!$A$2:$A$43, 0), 0)
)</f>
        <v>3</v>
      </c>
      <c r="T20" s="51">
        <f t="array" ref="T20">SUMPRODUCT(
  'User-Product'!$B20:$J20,
  INDEX('User-Product'!$B$2:$J$43, MATCH(T$1, 'User-Product'!$A$2:$A$43, 0), 0)
)</f>
        <v>6</v>
      </c>
      <c r="U20" s="51">
        <f t="array" ref="U20">SUMPRODUCT(
  'User-Product'!$B20:$J20,
  INDEX('User-Product'!$B$2:$J$43, MATCH(U$1, 'User-Product'!$A$2:$A$43, 0), 0)
)</f>
        <v>3</v>
      </c>
      <c r="V20" s="51">
        <f t="array" ref="V20">SUMPRODUCT(
  'User-Product'!$B20:$J20,
  INDEX('User-Product'!$B$2:$J$43, MATCH(V$1, 'User-Product'!$A$2:$A$43, 0), 0)
)</f>
        <v>1</v>
      </c>
      <c r="W20" s="51">
        <f t="array" ref="W20">SUMPRODUCT(
  'User-Product'!$B20:$J20,
  INDEX('User-Product'!$B$2:$J$43, MATCH(W$1, 'User-Product'!$A$2:$A$43, 0), 0)
)</f>
        <v>1</v>
      </c>
      <c r="X20" s="51">
        <f t="array" ref="X20">SUMPRODUCT(
  'User-Product'!$B20:$J20,
  INDEX('User-Product'!$B$2:$J$43, MATCH(X$1, 'User-Product'!$A$2:$A$43, 0), 0)
)</f>
        <v>1</v>
      </c>
      <c r="Y20" s="51">
        <f t="array" ref="Y20">SUMPRODUCT(
  'User-Product'!$B20:$J20,
  INDEX('User-Product'!$B$2:$J$43, MATCH(Y$1, 'User-Product'!$A$2:$A$43, 0), 0)
)</f>
        <v>1</v>
      </c>
      <c r="Z20" s="51">
        <f t="array" ref="Z20">SUMPRODUCT(
  'User-Product'!$B20:$J20,
  INDEX('User-Product'!$B$2:$J$43, MATCH(Z$1, 'User-Product'!$A$2:$A$43, 0), 0)
)</f>
        <v>1</v>
      </c>
      <c r="AA20" s="51">
        <f t="array" ref="AA20">SUMPRODUCT(
  'User-Product'!$B20:$J20,
  INDEX('User-Product'!$B$2:$J$43, MATCH(AA$1, 'User-Product'!$A$2:$A$43, 0), 0)
)</f>
        <v>1</v>
      </c>
      <c r="AB20" s="51">
        <f t="array" ref="AB20">SUMPRODUCT(
  'User-Product'!$B20:$J20,
  INDEX('User-Product'!$B$2:$J$43, MATCH(AB$1, 'User-Product'!$A$2:$A$43, 0), 0)
)</f>
        <v>5</v>
      </c>
      <c r="AC20" s="51">
        <f t="array" ref="AC20">SUMPRODUCT(
  'User-Product'!$B20:$J20,
  INDEX('User-Product'!$B$2:$J$43, MATCH(AC$1, 'User-Product'!$A$2:$A$43, 0), 0)
)</f>
        <v>2</v>
      </c>
      <c r="AD20" s="51">
        <f t="array" ref="AD20">SUMPRODUCT(
  'User-Product'!$B20:$J20,
  INDEX('User-Product'!$B$2:$J$43, MATCH(AD$1, 'User-Product'!$A$2:$A$43, 0), 0)
)</f>
        <v>1</v>
      </c>
      <c r="AE20" s="51">
        <f t="array" ref="AE20">SUMPRODUCT(
  'User-Product'!$B20:$J20,
  INDEX('User-Product'!$B$2:$J$43, MATCH(AE$1, 'User-Product'!$A$2:$A$43, 0), 0)
)</f>
        <v>2</v>
      </c>
      <c r="AF20" s="51">
        <f t="array" ref="AF20">SUMPRODUCT(
  'User-Product'!$B20:$J20,
  INDEX('User-Product'!$B$2:$J$43, MATCH(AF$1, 'User-Product'!$A$2:$A$43, 0), 0)
)</f>
        <v>6</v>
      </c>
      <c r="AG20" s="51">
        <f t="array" ref="AG20">SUMPRODUCT(
  'User-Product'!$B20:$J20,
  INDEX('User-Product'!$B$2:$J$43, MATCH(AG$1, 'User-Product'!$A$2:$A$43, 0), 0)
)</f>
        <v>1</v>
      </c>
      <c r="AH20" s="51">
        <f t="array" ref="AH20">SUMPRODUCT(
  'User-Product'!$B20:$J20,
  INDEX('User-Product'!$B$2:$J$43, MATCH(AH$1, 'User-Product'!$A$2:$A$43, 0), 0)
)</f>
        <v>2</v>
      </c>
      <c r="AI20" s="51">
        <f t="array" ref="AI20">SUMPRODUCT(
  'User-Product'!$B20:$J20,
  INDEX('User-Product'!$B$2:$J$43, MATCH(AI$1, 'User-Product'!$A$2:$A$43, 0), 0)
)</f>
        <v>2</v>
      </c>
      <c r="AJ20" s="51">
        <f t="array" ref="AJ20">SUMPRODUCT(
  'User-Product'!$B20:$J20,
  INDEX('User-Product'!$B$2:$J$43, MATCH(AJ$1, 'User-Product'!$A$2:$A$43, 0), 0)
)</f>
        <v>1</v>
      </c>
      <c r="AK20" s="51">
        <f t="array" ref="AK20">SUMPRODUCT(
  'User-Product'!$B20:$J20,
  INDEX('User-Product'!$B$2:$J$43, MATCH(AK$1, 'User-Product'!$A$2:$A$43, 0), 0)
)</f>
        <v>1</v>
      </c>
      <c r="AL20" s="51">
        <f t="array" ref="AL20">SUMPRODUCT(
  'User-Product'!$B20:$J20,
  INDEX('User-Product'!$B$2:$J$43, MATCH(AL$1, 'User-Product'!$A$2:$A$43, 0), 0)
)</f>
        <v>4</v>
      </c>
      <c r="AM20" s="51">
        <f t="array" ref="AM20">SUMPRODUCT(
  'User-Product'!$B20:$J20,
  INDEX('User-Product'!$B$2:$J$43, MATCH(AM$1, 'User-Product'!$A$2:$A$43, 0), 0)
)</f>
        <v>1</v>
      </c>
      <c r="AN20" s="51">
        <f t="array" ref="AN20">SUMPRODUCT(
  'User-Product'!$B20:$J20,
  INDEX('User-Product'!$B$2:$J$43, MATCH(AN$1, 'User-Product'!$A$2:$A$43, 0), 0)
)</f>
        <v>4</v>
      </c>
      <c r="AO20" s="51">
        <f t="array" ref="AO20">SUMPRODUCT(
  'User-Product'!$B20:$J20,
  INDEX('User-Product'!$B$2:$J$43, MATCH(AO$1, 'User-Product'!$A$2:$A$43, 0), 0)
)</f>
        <v>1</v>
      </c>
      <c r="AP20" s="51">
        <f t="array" ref="AP20">SUMPRODUCT(
  'User-Product'!$B20:$J20,
  INDEX('User-Product'!$B$2:$J$43, MATCH(AP$1, 'User-Product'!$A$2:$A$43, 0), 0)
)</f>
        <v>2</v>
      </c>
      <c r="AQ20" s="51">
        <f t="array" ref="AQ20">SUMPRODUCT(
  'User-Product'!$B20:$J20,
  INDEX('User-Product'!$B$2:$J$43, MATCH(AQ$1, 'User-Product'!$A$2:$A$43, 0), 0)
)</f>
        <v>3</v>
      </c>
      <c r="AR20" s="51"/>
      <c r="AS20" s="51"/>
      <c r="AT20" s="51"/>
      <c r="AU20" s="51"/>
      <c r="AV20" s="51"/>
      <c r="AW20" s="51"/>
      <c r="AX20" s="51"/>
      <c r="AY20" s="51"/>
    </row>
    <row r="21">
      <c r="A21" s="52" t="s">
        <v>81</v>
      </c>
      <c r="B21" s="51">
        <f t="array" ref="B21">SUMPRODUCT(
  'User-Product'!$B21:$J21,
  INDEX('User-Product'!$B$2:$J$43, MATCH(B$1, 'User-Product'!$A$2:$A$43, 0), 0)
)</f>
        <v>1</v>
      </c>
      <c r="C21" s="51">
        <f t="array" ref="C21">SUMPRODUCT(
  'User-Product'!$B21:$J21,
  INDEX('User-Product'!$B$2:$J$43, MATCH(C$1, 'User-Product'!$A$2:$A$43, 0), 0)
)</f>
        <v>2</v>
      </c>
      <c r="D21" s="51">
        <f t="array" ref="D21">SUMPRODUCT(
  'User-Product'!$B21:$J21,
  INDEX('User-Product'!$B$2:$J$43, MATCH(D$1, 'User-Product'!$A$2:$A$43, 0), 0)
)</f>
        <v>0</v>
      </c>
      <c r="E21" s="51">
        <f t="array" ref="E21">SUMPRODUCT(
  'User-Product'!$B21:$J21,
  INDEX('User-Product'!$B$2:$J$43, MATCH(E$1, 'User-Product'!$A$2:$A$43, 0), 0)
)</f>
        <v>1</v>
      </c>
      <c r="F21" s="51">
        <f t="array" ref="F21">SUMPRODUCT(
  'User-Product'!$B21:$J21,
  INDEX('User-Product'!$B$2:$J$43, MATCH(F$1, 'User-Product'!$A$2:$A$43, 0), 0)
)</f>
        <v>4</v>
      </c>
      <c r="G21" s="51">
        <f t="array" ref="G21">SUMPRODUCT(
  'User-Product'!$B21:$J21,
  INDEX('User-Product'!$B$2:$J$43, MATCH(G$1, 'User-Product'!$A$2:$A$43, 0), 0)
)</f>
        <v>1</v>
      </c>
      <c r="H21" s="51">
        <f t="array" ref="H21">SUMPRODUCT(
  'User-Product'!$B21:$J21,
  INDEX('User-Product'!$B$2:$J$43, MATCH(H$1, 'User-Product'!$A$2:$A$43, 0), 0)
)</f>
        <v>4</v>
      </c>
      <c r="I21" s="51">
        <f t="array" ref="I21">SUMPRODUCT(
  'User-Product'!$B21:$J21,
  INDEX('User-Product'!$B$2:$J$43, MATCH(I$1, 'User-Product'!$A$2:$A$43, 0), 0)
)</f>
        <v>2</v>
      </c>
      <c r="J21" s="51">
        <f t="array" ref="J21">SUMPRODUCT(
  'User-Product'!$B21:$J21,
  INDEX('User-Product'!$B$2:$J$43, MATCH(J$1, 'User-Product'!$A$2:$A$43, 0), 0)
)</f>
        <v>3</v>
      </c>
      <c r="K21" s="51">
        <f t="array" ref="K21">SUMPRODUCT(
  'User-Product'!$B21:$J21,
  INDEX('User-Product'!$B$2:$J$43, MATCH(K$1, 'User-Product'!$A$2:$A$43, 0), 0)
)</f>
        <v>1</v>
      </c>
      <c r="L21" s="51">
        <f t="array" ref="L21">SUMPRODUCT(
  'User-Product'!$B21:$J21,
  INDEX('User-Product'!$B$2:$J$43, MATCH(L$1, 'User-Product'!$A$2:$A$43, 0), 0)
)</f>
        <v>0</v>
      </c>
      <c r="M21" s="51">
        <f t="array" ref="M21">SUMPRODUCT(
  'User-Product'!$B21:$J21,
  INDEX('User-Product'!$B$2:$J$43, MATCH(M$1, 'User-Product'!$A$2:$A$43, 0), 0)
)</f>
        <v>1</v>
      </c>
      <c r="N21" s="51">
        <f t="array" ref="N21">SUMPRODUCT(
  'User-Product'!$B21:$J21,
  INDEX('User-Product'!$B$2:$J$43, MATCH(N$1, 'User-Product'!$A$2:$A$43, 0), 0)
)</f>
        <v>0</v>
      </c>
      <c r="O21" s="51">
        <f t="array" ref="O21">SUMPRODUCT(
  'User-Product'!$B21:$J21,
  INDEX('User-Product'!$B$2:$J$43, MATCH(O$1, 'User-Product'!$A$2:$A$43, 0), 0)
)</f>
        <v>1</v>
      </c>
      <c r="P21" s="51">
        <f t="array" ref="P21">SUMPRODUCT(
  'User-Product'!$B21:$J21,
  INDEX('User-Product'!$B$2:$J$43, MATCH(P$1, 'User-Product'!$A$2:$A$43, 0), 0)
)</f>
        <v>1</v>
      </c>
      <c r="Q21" s="51">
        <f t="array" ref="Q21">SUMPRODUCT(
  'User-Product'!$B21:$J21,
  INDEX('User-Product'!$B$2:$J$43, MATCH(Q$1, 'User-Product'!$A$2:$A$43, 0), 0)
)</f>
        <v>0</v>
      </c>
      <c r="R21" s="51">
        <f t="array" ref="R21">SUMPRODUCT(
  'User-Product'!$B21:$J21,
  INDEX('User-Product'!$B$2:$J$43, MATCH(R$1, 'User-Product'!$A$2:$A$43, 0), 0)
)</f>
        <v>0</v>
      </c>
      <c r="S21" s="51">
        <f t="array" ref="S21">SUMPRODUCT(
  'User-Product'!$B21:$J21,
  INDEX('User-Product'!$B$2:$J$43, MATCH(S$1, 'User-Product'!$A$2:$A$43, 0), 0)
)</f>
        <v>3</v>
      </c>
      <c r="T21" s="51">
        <f t="array" ref="T21">SUMPRODUCT(
  'User-Product'!$B21:$J21,
  INDEX('User-Product'!$B$2:$J$43, MATCH(T$1, 'User-Product'!$A$2:$A$43, 0), 0)
)</f>
        <v>3</v>
      </c>
      <c r="U21" s="51">
        <f t="array" ref="U21">SUMPRODUCT(
  'User-Product'!$B21:$J21,
  INDEX('User-Product'!$B$2:$J$43, MATCH(U$1, 'User-Product'!$A$2:$A$43, 0), 0)
)</f>
        <v>4</v>
      </c>
      <c r="V21" s="51">
        <f t="array" ref="V21">SUMPRODUCT(
  'User-Product'!$B21:$J21,
  INDEX('User-Product'!$B$2:$J$43, MATCH(V$1, 'User-Product'!$A$2:$A$43, 0), 0)
)</f>
        <v>0</v>
      </c>
      <c r="W21" s="51">
        <f t="array" ref="W21">SUMPRODUCT(
  'User-Product'!$B21:$J21,
  INDEX('User-Product'!$B$2:$J$43, MATCH(W$1, 'User-Product'!$A$2:$A$43, 0), 0)
)</f>
        <v>1</v>
      </c>
      <c r="X21" s="51">
        <f t="array" ref="X21">SUMPRODUCT(
  'User-Product'!$B21:$J21,
  INDEX('User-Product'!$B$2:$J$43, MATCH(X$1, 'User-Product'!$A$2:$A$43, 0), 0)
)</f>
        <v>1</v>
      </c>
      <c r="Y21" s="51">
        <f t="array" ref="Y21">SUMPRODUCT(
  'User-Product'!$B21:$J21,
  INDEX('User-Product'!$B$2:$J$43, MATCH(Y$1, 'User-Product'!$A$2:$A$43, 0), 0)
)</f>
        <v>1</v>
      </c>
      <c r="Z21" s="51">
        <f t="array" ref="Z21">SUMPRODUCT(
  'User-Product'!$B21:$J21,
  INDEX('User-Product'!$B$2:$J$43, MATCH(Z$1, 'User-Product'!$A$2:$A$43, 0), 0)
)</f>
        <v>1</v>
      </c>
      <c r="AA21" s="51">
        <f t="array" ref="AA21">SUMPRODUCT(
  'User-Product'!$B21:$J21,
  INDEX('User-Product'!$B$2:$J$43, MATCH(AA$1, 'User-Product'!$A$2:$A$43, 0), 0)
)</f>
        <v>1</v>
      </c>
      <c r="AB21" s="51">
        <f t="array" ref="AB21">SUMPRODUCT(
  'User-Product'!$B21:$J21,
  INDEX('User-Product'!$B$2:$J$43, MATCH(AB$1, 'User-Product'!$A$2:$A$43, 0), 0)
)</f>
        <v>3</v>
      </c>
      <c r="AC21" s="51">
        <f t="array" ref="AC21">SUMPRODUCT(
  'User-Product'!$B21:$J21,
  INDEX('User-Product'!$B$2:$J$43, MATCH(AC$1, 'User-Product'!$A$2:$A$43, 0), 0)
)</f>
        <v>1</v>
      </c>
      <c r="AD21" s="51">
        <f t="array" ref="AD21">SUMPRODUCT(
  'User-Product'!$B21:$J21,
  INDEX('User-Product'!$B$2:$J$43, MATCH(AD$1, 'User-Product'!$A$2:$A$43, 0), 0)
)</f>
        <v>2</v>
      </c>
      <c r="AE21" s="51">
        <f t="array" ref="AE21">SUMPRODUCT(
  'User-Product'!$B21:$J21,
  INDEX('User-Product'!$B$2:$J$43, MATCH(AE$1, 'User-Product'!$A$2:$A$43, 0), 0)
)</f>
        <v>1</v>
      </c>
      <c r="AF21" s="51">
        <f t="array" ref="AF21">SUMPRODUCT(
  'User-Product'!$B21:$J21,
  INDEX('User-Product'!$B$2:$J$43, MATCH(AF$1, 'User-Product'!$A$2:$A$43, 0), 0)
)</f>
        <v>4</v>
      </c>
      <c r="AG21" s="51">
        <f t="array" ref="AG21">SUMPRODUCT(
  'User-Product'!$B21:$J21,
  INDEX('User-Product'!$B$2:$J$43, MATCH(AG$1, 'User-Product'!$A$2:$A$43, 0), 0)
)</f>
        <v>1</v>
      </c>
      <c r="AH21" s="51">
        <f t="array" ref="AH21">SUMPRODUCT(
  'User-Product'!$B21:$J21,
  INDEX('User-Product'!$B$2:$J$43, MATCH(AH$1, 'User-Product'!$A$2:$A$43, 0), 0)
)</f>
        <v>2</v>
      </c>
      <c r="AI21" s="51">
        <f t="array" ref="AI21">SUMPRODUCT(
  'User-Product'!$B21:$J21,
  INDEX('User-Product'!$B$2:$J$43, MATCH(AI$1, 'User-Product'!$A$2:$A$43, 0), 0)
)</f>
        <v>2</v>
      </c>
      <c r="AJ21" s="51">
        <f t="array" ref="AJ21">SUMPRODUCT(
  'User-Product'!$B21:$J21,
  INDEX('User-Product'!$B$2:$J$43, MATCH(AJ$1, 'User-Product'!$A$2:$A$43, 0), 0)
)</f>
        <v>1</v>
      </c>
      <c r="AK21" s="51">
        <f t="array" ref="AK21">SUMPRODUCT(
  'User-Product'!$B21:$J21,
  INDEX('User-Product'!$B$2:$J$43, MATCH(AK$1, 'User-Product'!$A$2:$A$43, 0), 0)
)</f>
        <v>1</v>
      </c>
      <c r="AL21" s="51">
        <f t="array" ref="AL21">SUMPRODUCT(
  'User-Product'!$B21:$J21,
  INDEX('User-Product'!$B$2:$J$43, MATCH(AL$1, 'User-Product'!$A$2:$A$43, 0), 0)
)</f>
        <v>1</v>
      </c>
      <c r="AM21" s="51">
        <f t="array" ref="AM21">SUMPRODUCT(
  'User-Product'!$B21:$J21,
  INDEX('User-Product'!$B$2:$J$43, MATCH(AM$1, 'User-Product'!$A$2:$A$43, 0), 0)
)</f>
        <v>1</v>
      </c>
      <c r="AN21" s="51">
        <f t="array" ref="AN21">SUMPRODUCT(
  'User-Product'!$B21:$J21,
  INDEX('User-Product'!$B$2:$J$43, MATCH(AN$1, 'User-Product'!$A$2:$A$43, 0), 0)
)</f>
        <v>4</v>
      </c>
      <c r="AO21" s="51">
        <f t="array" ref="AO21">SUMPRODUCT(
  'User-Product'!$B21:$J21,
  INDEX('User-Product'!$B$2:$J$43, MATCH(AO$1, 'User-Product'!$A$2:$A$43, 0), 0)
)</f>
        <v>1</v>
      </c>
      <c r="AP21" s="51">
        <f t="array" ref="AP21">SUMPRODUCT(
  'User-Product'!$B21:$J21,
  INDEX('User-Product'!$B$2:$J$43, MATCH(AP$1, 'User-Product'!$A$2:$A$43, 0), 0)
)</f>
        <v>1</v>
      </c>
      <c r="AQ21" s="51">
        <f t="array" ref="AQ21">SUMPRODUCT(
  'User-Product'!$B21:$J21,
  INDEX('User-Product'!$B$2:$J$43, MATCH(AQ$1, 'User-Product'!$A$2:$A$43, 0), 0)
)</f>
        <v>2</v>
      </c>
      <c r="AR21" s="51"/>
      <c r="AS21" s="51"/>
      <c r="AT21" s="51"/>
      <c r="AU21" s="51"/>
      <c r="AV21" s="51"/>
      <c r="AW21" s="51"/>
      <c r="AX21" s="51"/>
      <c r="AY21" s="51"/>
    </row>
    <row r="22">
      <c r="A22" s="52" t="s">
        <v>82</v>
      </c>
      <c r="B22" s="51">
        <f t="array" ref="B22">SUMPRODUCT(
  'User-Product'!$B22:$J22,
  INDEX('User-Product'!$B$2:$J$43, MATCH(B$1, 'User-Product'!$A$2:$A$43, 0), 0)
)</f>
        <v>0</v>
      </c>
      <c r="C22" s="51">
        <f t="array" ref="C22">SUMPRODUCT(
  'User-Product'!$B22:$J22,
  INDEX('User-Product'!$B$2:$J$43, MATCH(C$1, 'User-Product'!$A$2:$A$43, 0), 0)
)</f>
        <v>0</v>
      </c>
      <c r="D22" s="51">
        <f t="array" ref="D22">SUMPRODUCT(
  'User-Product'!$B22:$J22,
  INDEX('User-Product'!$B$2:$J$43, MATCH(D$1, 'User-Product'!$A$2:$A$43, 0), 0)
)</f>
        <v>0</v>
      </c>
      <c r="E22" s="51">
        <f t="array" ref="E22">SUMPRODUCT(
  'User-Product'!$B22:$J22,
  INDEX('User-Product'!$B$2:$J$43, MATCH(E$1, 'User-Product'!$A$2:$A$43, 0), 0)
)</f>
        <v>0</v>
      </c>
      <c r="F22" s="51">
        <f t="array" ref="F22">SUMPRODUCT(
  'User-Product'!$B22:$J22,
  INDEX('User-Product'!$B$2:$J$43, MATCH(F$1, 'User-Product'!$A$2:$A$43, 0), 0)
)</f>
        <v>1</v>
      </c>
      <c r="G22" s="51">
        <f t="array" ref="G22">SUMPRODUCT(
  'User-Product'!$B22:$J22,
  INDEX('User-Product'!$B$2:$J$43, MATCH(G$1, 'User-Product'!$A$2:$A$43, 0), 0)
)</f>
        <v>0</v>
      </c>
      <c r="H22" s="51">
        <f t="array" ref="H22">SUMPRODUCT(
  'User-Product'!$B22:$J22,
  INDEX('User-Product'!$B$2:$J$43, MATCH(H$1, 'User-Product'!$A$2:$A$43, 0), 0)
)</f>
        <v>1</v>
      </c>
      <c r="I22" s="51">
        <f t="array" ref="I22">SUMPRODUCT(
  'User-Product'!$B22:$J22,
  INDEX('User-Product'!$B$2:$J$43, MATCH(I$1, 'User-Product'!$A$2:$A$43, 0), 0)
)</f>
        <v>0</v>
      </c>
      <c r="J22" s="51">
        <f t="array" ref="J22">SUMPRODUCT(
  'User-Product'!$B22:$J22,
  INDEX('User-Product'!$B$2:$J$43, MATCH(J$1, 'User-Product'!$A$2:$A$43, 0), 0)
)</f>
        <v>0</v>
      </c>
      <c r="K22" s="51">
        <f t="array" ref="K22">SUMPRODUCT(
  'User-Product'!$B22:$J22,
  INDEX('User-Product'!$B$2:$J$43, MATCH(K$1, 'User-Product'!$A$2:$A$43, 0), 0)
)</f>
        <v>0</v>
      </c>
      <c r="L22" s="51">
        <f t="array" ref="L22">SUMPRODUCT(
  'User-Product'!$B22:$J22,
  INDEX('User-Product'!$B$2:$J$43, MATCH(L$1, 'User-Product'!$A$2:$A$43, 0), 0)
)</f>
        <v>0</v>
      </c>
      <c r="M22" s="51">
        <f t="array" ref="M22">SUMPRODUCT(
  'User-Product'!$B22:$J22,
  INDEX('User-Product'!$B$2:$J$43, MATCH(M$1, 'User-Product'!$A$2:$A$43, 0), 0)
)</f>
        <v>0</v>
      </c>
      <c r="N22" s="51">
        <f t="array" ref="N22">SUMPRODUCT(
  'User-Product'!$B22:$J22,
  INDEX('User-Product'!$B$2:$J$43, MATCH(N$1, 'User-Product'!$A$2:$A$43, 0), 0)
)</f>
        <v>0</v>
      </c>
      <c r="O22" s="51">
        <f t="array" ref="O22">SUMPRODUCT(
  'User-Product'!$B22:$J22,
  INDEX('User-Product'!$B$2:$J$43, MATCH(O$1, 'User-Product'!$A$2:$A$43, 0), 0)
)</f>
        <v>0</v>
      </c>
      <c r="P22" s="51">
        <f t="array" ref="P22">SUMPRODUCT(
  'User-Product'!$B22:$J22,
  INDEX('User-Product'!$B$2:$J$43, MATCH(P$1, 'User-Product'!$A$2:$A$43, 0), 0)
)</f>
        <v>0</v>
      </c>
      <c r="Q22" s="51">
        <f t="array" ref="Q22">SUMPRODUCT(
  'User-Product'!$B22:$J22,
  INDEX('User-Product'!$B$2:$J$43, MATCH(Q$1, 'User-Product'!$A$2:$A$43, 0), 0)
)</f>
        <v>0</v>
      </c>
      <c r="R22" s="51">
        <f t="array" ref="R22">SUMPRODUCT(
  'User-Product'!$B22:$J22,
  INDEX('User-Product'!$B$2:$J$43, MATCH(R$1, 'User-Product'!$A$2:$A$43, 0), 0)
)</f>
        <v>0</v>
      </c>
      <c r="S22" s="51">
        <f t="array" ref="S22">SUMPRODUCT(
  'User-Product'!$B22:$J22,
  INDEX('User-Product'!$B$2:$J$43, MATCH(S$1, 'User-Product'!$A$2:$A$43, 0), 0)
)</f>
        <v>0</v>
      </c>
      <c r="T22" s="51">
        <f t="array" ref="T22">SUMPRODUCT(
  'User-Product'!$B22:$J22,
  INDEX('User-Product'!$B$2:$J$43, MATCH(T$1, 'User-Product'!$A$2:$A$43, 0), 0)
)</f>
        <v>1</v>
      </c>
      <c r="U22" s="51">
        <f t="array" ref="U22">SUMPRODUCT(
  'User-Product'!$B22:$J22,
  INDEX('User-Product'!$B$2:$J$43, MATCH(U$1, 'User-Product'!$A$2:$A$43, 0), 0)
)</f>
        <v>0</v>
      </c>
      <c r="V22" s="51">
        <f t="array" ref="V22">SUMPRODUCT(
  'User-Product'!$B22:$J22,
  INDEX('User-Product'!$B$2:$J$43, MATCH(V$1, 'User-Product'!$A$2:$A$43, 0), 0)
)</f>
        <v>1</v>
      </c>
      <c r="W22" s="51">
        <f t="array" ref="W22">SUMPRODUCT(
  'User-Product'!$B22:$J22,
  INDEX('User-Product'!$B$2:$J$43, MATCH(W$1, 'User-Product'!$A$2:$A$43, 0), 0)
)</f>
        <v>0</v>
      </c>
      <c r="X22" s="51">
        <f t="array" ref="X22">SUMPRODUCT(
  'User-Product'!$B22:$J22,
  INDEX('User-Product'!$B$2:$J$43, MATCH(X$1, 'User-Product'!$A$2:$A$43, 0), 0)
)</f>
        <v>0</v>
      </c>
      <c r="Y22" s="51">
        <f t="array" ref="Y22">SUMPRODUCT(
  'User-Product'!$B22:$J22,
  INDEX('User-Product'!$B$2:$J$43, MATCH(Y$1, 'User-Product'!$A$2:$A$43, 0), 0)
)</f>
        <v>0</v>
      </c>
      <c r="Z22" s="51">
        <f t="array" ref="Z22">SUMPRODUCT(
  'User-Product'!$B22:$J22,
  INDEX('User-Product'!$B$2:$J$43, MATCH(Z$1, 'User-Product'!$A$2:$A$43, 0), 0)
)</f>
        <v>0</v>
      </c>
      <c r="AA22" s="51">
        <f t="array" ref="AA22">SUMPRODUCT(
  'User-Product'!$B22:$J22,
  INDEX('User-Product'!$B$2:$J$43, MATCH(AA$1, 'User-Product'!$A$2:$A$43, 0), 0)
)</f>
        <v>0</v>
      </c>
      <c r="AB22" s="51">
        <f t="array" ref="AB22">SUMPRODUCT(
  'User-Product'!$B22:$J22,
  INDEX('User-Product'!$B$2:$J$43, MATCH(AB$1, 'User-Product'!$A$2:$A$43, 0), 0)
)</f>
        <v>1</v>
      </c>
      <c r="AC22" s="51">
        <f t="array" ref="AC22">SUMPRODUCT(
  'User-Product'!$B22:$J22,
  INDEX('User-Product'!$B$2:$J$43, MATCH(AC$1, 'User-Product'!$A$2:$A$43, 0), 0)
)</f>
        <v>1</v>
      </c>
      <c r="AD22" s="51">
        <f t="array" ref="AD22">SUMPRODUCT(
  'User-Product'!$B22:$J22,
  INDEX('User-Product'!$B$2:$J$43, MATCH(AD$1, 'User-Product'!$A$2:$A$43, 0), 0)
)</f>
        <v>0</v>
      </c>
      <c r="AE22" s="51">
        <f t="array" ref="AE22">SUMPRODUCT(
  'User-Product'!$B22:$J22,
  INDEX('User-Product'!$B$2:$J$43, MATCH(AE$1, 'User-Product'!$A$2:$A$43, 0), 0)
)</f>
        <v>0</v>
      </c>
      <c r="AF22" s="51">
        <f t="array" ref="AF22">SUMPRODUCT(
  'User-Product'!$B22:$J22,
  INDEX('User-Product'!$B$2:$J$43, MATCH(AF$1, 'User-Product'!$A$2:$A$43, 0), 0)
)</f>
        <v>1</v>
      </c>
      <c r="AG22" s="51">
        <f t="array" ref="AG22">SUMPRODUCT(
  'User-Product'!$B22:$J22,
  INDEX('User-Product'!$B$2:$J$43, MATCH(AG$1, 'User-Product'!$A$2:$A$43, 0), 0)
)</f>
        <v>0</v>
      </c>
      <c r="AH22" s="51">
        <f t="array" ref="AH22">SUMPRODUCT(
  'User-Product'!$B22:$J22,
  INDEX('User-Product'!$B$2:$J$43, MATCH(AH$1, 'User-Product'!$A$2:$A$43, 0), 0)
)</f>
        <v>0</v>
      </c>
      <c r="AI22" s="51">
        <f t="array" ref="AI22">SUMPRODUCT(
  'User-Product'!$B22:$J22,
  INDEX('User-Product'!$B$2:$J$43, MATCH(AI$1, 'User-Product'!$A$2:$A$43, 0), 0)
)</f>
        <v>0</v>
      </c>
      <c r="AJ22" s="51">
        <f t="array" ref="AJ22">SUMPRODUCT(
  'User-Product'!$B22:$J22,
  INDEX('User-Product'!$B$2:$J$43, MATCH(AJ$1, 'User-Product'!$A$2:$A$43, 0), 0)
)</f>
        <v>0</v>
      </c>
      <c r="AK22" s="51">
        <f t="array" ref="AK22">SUMPRODUCT(
  'User-Product'!$B22:$J22,
  INDEX('User-Product'!$B$2:$J$43, MATCH(AK$1, 'User-Product'!$A$2:$A$43, 0), 0)
)</f>
        <v>0</v>
      </c>
      <c r="AL22" s="51">
        <f t="array" ref="AL22">SUMPRODUCT(
  'User-Product'!$B22:$J22,
  INDEX('User-Product'!$B$2:$J$43, MATCH(AL$1, 'User-Product'!$A$2:$A$43, 0), 0)
)</f>
        <v>1</v>
      </c>
      <c r="AM22" s="51">
        <f t="array" ref="AM22">SUMPRODUCT(
  'User-Product'!$B22:$J22,
  INDEX('User-Product'!$B$2:$J$43, MATCH(AM$1, 'User-Product'!$A$2:$A$43, 0), 0)
)</f>
        <v>0</v>
      </c>
      <c r="AN22" s="51">
        <f t="array" ref="AN22">SUMPRODUCT(
  'User-Product'!$B22:$J22,
  INDEX('User-Product'!$B$2:$J$43, MATCH(AN$1, 'User-Product'!$A$2:$A$43, 0), 0)
)</f>
        <v>0</v>
      </c>
      <c r="AO22" s="51">
        <f t="array" ref="AO22">SUMPRODUCT(
  'User-Product'!$B22:$J22,
  INDEX('User-Product'!$B$2:$J$43, MATCH(AO$1, 'User-Product'!$A$2:$A$43, 0), 0)
)</f>
        <v>0</v>
      </c>
      <c r="AP22" s="51">
        <f t="array" ref="AP22">SUMPRODUCT(
  'User-Product'!$B22:$J22,
  INDEX('User-Product'!$B$2:$J$43, MATCH(AP$1, 'User-Product'!$A$2:$A$43, 0), 0)
)</f>
        <v>1</v>
      </c>
      <c r="AQ22" s="51">
        <f t="array" ref="AQ22">SUMPRODUCT(
  'User-Product'!$B22:$J22,
  INDEX('User-Product'!$B$2:$J$43, MATCH(AQ$1, 'User-Product'!$A$2:$A$43, 0), 0)
)</f>
        <v>0</v>
      </c>
      <c r="AR22" s="51"/>
      <c r="AS22" s="51"/>
      <c r="AT22" s="51"/>
      <c r="AU22" s="51"/>
      <c r="AV22" s="51"/>
      <c r="AW22" s="51"/>
      <c r="AX22" s="51"/>
      <c r="AY22" s="51"/>
    </row>
    <row r="23">
      <c r="A23" s="52" t="s">
        <v>83</v>
      </c>
      <c r="B23" s="51">
        <f t="array" ref="B23">SUMPRODUCT(
  'User-Product'!$B23:$J23,
  INDEX('User-Product'!$B$2:$J$43, MATCH(B$1, 'User-Product'!$A$2:$A$43, 0), 0)
)</f>
        <v>1</v>
      </c>
      <c r="C23" s="51">
        <f t="array" ref="C23">SUMPRODUCT(
  'User-Product'!$B23:$J23,
  INDEX('User-Product'!$B$2:$J$43, MATCH(C$1, 'User-Product'!$A$2:$A$43, 0), 0)
)</f>
        <v>1</v>
      </c>
      <c r="D23" s="51">
        <f t="array" ref="D23">SUMPRODUCT(
  'User-Product'!$B23:$J23,
  INDEX('User-Product'!$B$2:$J$43, MATCH(D$1, 'User-Product'!$A$2:$A$43, 0), 0)
)</f>
        <v>0</v>
      </c>
      <c r="E23" s="51">
        <f t="array" ref="E23">SUMPRODUCT(
  'User-Product'!$B23:$J23,
  INDEX('User-Product'!$B$2:$J$43, MATCH(E$1, 'User-Product'!$A$2:$A$43, 0), 0)
)</f>
        <v>0</v>
      </c>
      <c r="F23" s="51">
        <f t="array" ref="F23">SUMPRODUCT(
  'User-Product'!$B23:$J23,
  INDEX('User-Product'!$B$2:$J$43, MATCH(F$1, 'User-Product'!$A$2:$A$43, 0), 0)
)</f>
        <v>1</v>
      </c>
      <c r="G23" s="51">
        <f t="array" ref="G23">SUMPRODUCT(
  'User-Product'!$B23:$J23,
  INDEX('User-Product'!$B$2:$J$43, MATCH(G$1, 'User-Product'!$A$2:$A$43, 0), 0)
)</f>
        <v>0</v>
      </c>
      <c r="H23" s="51">
        <f t="array" ref="H23">SUMPRODUCT(
  'User-Product'!$B23:$J23,
  INDEX('User-Product'!$B$2:$J$43, MATCH(H$1, 'User-Product'!$A$2:$A$43, 0), 0)
)</f>
        <v>1</v>
      </c>
      <c r="I23" s="51">
        <f t="array" ref="I23">SUMPRODUCT(
  'User-Product'!$B23:$J23,
  INDEX('User-Product'!$B$2:$J$43, MATCH(I$1, 'User-Product'!$A$2:$A$43, 0), 0)
)</f>
        <v>1</v>
      </c>
      <c r="J23" s="51">
        <f t="array" ref="J23">SUMPRODUCT(
  'User-Product'!$B23:$J23,
  INDEX('User-Product'!$B$2:$J$43, MATCH(J$1, 'User-Product'!$A$2:$A$43, 0), 0)
)</f>
        <v>0</v>
      </c>
      <c r="K23" s="51">
        <f t="array" ref="K23">SUMPRODUCT(
  'User-Product'!$B23:$J23,
  INDEX('User-Product'!$B$2:$J$43, MATCH(K$1, 'User-Product'!$A$2:$A$43, 0), 0)
)</f>
        <v>0</v>
      </c>
      <c r="L23" s="51">
        <f t="array" ref="L23">SUMPRODUCT(
  'User-Product'!$B23:$J23,
  INDEX('User-Product'!$B$2:$J$43, MATCH(L$1, 'User-Product'!$A$2:$A$43, 0), 0)
)</f>
        <v>0</v>
      </c>
      <c r="M23" s="51">
        <f t="array" ref="M23">SUMPRODUCT(
  'User-Product'!$B23:$J23,
  INDEX('User-Product'!$B$2:$J$43, MATCH(M$1, 'User-Product'!$A$2:$A$43, 0), 0)
)</f>
        <v>1</v>
      </c>
      <c r="N23" s="51">
        <f t="array" ref="N23">SUMPRODUCT(
  'User-Product'!$B23:$J23,
  INDEX('User-Product'!$B$2:$J$43, MATCH(N$1, 'User-Product'!$A$2:$A$43, 0), 0)
)</f>
        <v>0</v>
      </c>
      <c r="O23" s="51">
        <f t="array" ref="O23">SUMPRODUCT(
  'User-Product'!$B23:$J23,
  INDEX('User-Product'!$B$2:$J$43, MATCH(O$1, 'User-Product'!$A$2:$A$43, 0), 0)
)</f>
        <v>0</v>
      </c>
      <c r="P23" s="51">
        <f t="array" ref="P23">SUMPRODUCT(
  'User-Product'!$B23:$J23,
  INDEX('User-Product'!$B$2:$J$43, MATCH(P$1, 'User-Product'!$A$2:$A$43, 0), 0)
)</f>
        <v>0</v>
      </c>
      <c r="Q23" s="51">
        <f t="array" ref="Q23">SUMPRODUCT(
  'User-Product'!$B23:$J23,
  INDEX('User-Product'!$B$2:$J$43, MATCH(Q$1, 'User-Product'!$A$2:$A$43, 0), 0)
)</f>
        <v>0</v>
      </c>
      <c r="R23" s="51">
        <f t="array" ref="R23">SUMPRODUCT(
  'User-Product'!$B23:$J23,
  INDEX('User-Product'!$B$2:$J$43, MATCH(R$1, 'User-Product'!$A$2:$A$43, 0), 0)
)</f>
        <v>0</v>
      </c>
      <c r="S23" s="51">
        <f t="array" ref="S23">SUMPRODUCT(
  'User-Product'!$B23:$J23,
  INDEX('User-Product'!$B$2:$J$43, MATCH(S$1, 'User-Product'!$A$2:$A$43, 0), 0)
)</f>
        <v>1</v>
      </c>
      <c r="T23" s="51">
        <f t="array" ref="T23">SUMPRODUCT(
  'User-Product'!$B23:$J23,
  INDEX('User-Product'!$B$2:$J$43, MATCH(T$1, 'User-Product'!$A$2:$A$43, 0), 0)
)</f>
        <v>1</v>
      </c>
      <c r="U23" s="51">
        <f t="array" ref="U23">SUMPRODUCT(
  'User-Product'!$B23:$J23,
  INDEX('User-Product'!$B$2:$J$43, MATCH(U$1, 'User-Product'!$A$2:$A$43, 0), 0)
)</f>
        <v>1</v>
      </c>
      <c r="V23" s="51">
        <f t="array" ref="V23">SUMPRODUCT(
  'User-Product'!$B23:$J23,
  INDEX('User-Product'!$B$2:$J$43, MATCH(V$1, 'User-Product'!$A$2:$A$43, 0), 0)
)</f>
        <v>0</v>
      </c>
      <c r="W23" s="51">
        <f t="array" ref="W23">SUMPRODUCT(
  'User-Product'!$B23:$J23,
  INDEX('User-Product'!$B$2:$J$43, MATCH(W$1, 'User-Product'!$A$2:$A$43, 0), 0)
)</f>
        <v>1</v>
      </c>
      <c r="X23" s="51">
        <f t="array" ref="X23">SUMPRODUCT(
  'User-Product'!$B23:$J23,
  INDEX('User-Product'!$B$2:$J$43, MATCH(X$1, 'User-Product'!$A$2:$A$43, 0), 0)
)</f>
        <v>1</v>
      </c>
      <c r="Y23" s="51">
        <f t="array" ref="Y23">SUMPRODUCT(
  'User-Product'!$B23:$J23,
  INDEX('User-Product'!$B$2:$J$43, MATCH(Y$1, 'User-Product'!$A$2:$A$43, 0), 0)
)</f>
        <v>0</v>
      </c>
      <c r="Z23" s="51">
        <f t="array" ref="Z23">SUMPRODUCT(
  'User-Product'!$B23:$J23,
  INDEX('User-Product'!$B$2:$J$43, MATCH(Z$1, 'User-Product'!$A$2:$A$43, 0), 0)
)</f>
        <v>1</v>
      </c>
      <c r="AA23" s="51">
        <f t="array" ref="AA23">SUMPRODUCT(
  'User-Product'!$B23:$J23,
  INDEX('User-Product'!$B$2:$J$43, MATCH(AA$1, 'User-Product'!$A$2:$A$43, 0), 0)
)</f>
        <v>1</v>
      </c>
      <c r="AB23" s="51">
        <f t="array" ref="AB23">SUMPRODUCT(
  'User-Product'!$B23:$J23,
  INDEX('User-Product'!$B$2:$J$43, MATCH(AB$1, 'User-Product'!$A$2:$A$43, 0), 0)
)</f>
        <v>1</v>
      </c>
      <c r="AC23" s="51">
        <f t="array" ref="AC23">SUMPRODUCT(
  'User-Product'!$B23:$J23,
  INDEX('User-Product'!$B$2:$J$43, MATCH(AC$1, 'User-Product'!$A$2:$A$43, 0), 0)
)</f>
        <v>1</v>
      </c>
      <c r="AD23" s="51">
        <f t="array" ref="AD23">SUMPRODUCT(
  'User-Product'!$B23:$J23,
  INDEX('User-Product'!$B$2:$J$43, MATCH(AD$1, 'User-Product'!$A$2:$A$43, 0), 0)
)</f>
        <v>0</v>
      </c>
      <c r="AE23" s="51">
        <f t="array" ref="AE23">SUMPRODUCT(
  'User-Product'!$B23:$J23,
  INDEX('User-Product'!$B$2:$J$43, MATCH(AE$1, 'User-Product'!$A$2:$A$43, 0), 0)
)</f>
        <v>1</v>
      </c>
      <c r="AF23" s="51">
        <f t="array" ref="AF23">SUMPRODUCT(
  'User-Product'!$B23:$J23,
  INDEX('User-Product'!$B$2:$J$43, MATCH(AF$1, 'User-Product'!$A$2:$A$43, 0), 0)
)</f>
        <v>1</v>
      </c>
      <c r="AG23" s="51">
        <f t="array" ref="AG23">SUMPRODUCT(
  'User-Product'!$B23:$J23,
  INDEX('User-Product'!$B$2:$J$43, MATCH(AG$1, 'User-Product'!$A$2:$A$43, 0), 0)
)</f>
        <v>0</v>
      </c>
      <c r="AH23" s="51">
        <f t="array" ref="AH23">SUMPRODUCT(
  'User-Product'!$B23:$J23,
  INDEX('User-Product'!$B$2:$J$43, MATCH(AH$1, 'User-Product'!$A$2:$A$43, 0), 0)
)</f>
        <v>0</v>
      </c>
      <c r="AI23" s="51">
        <f t="array" ref="AI23">SUMPRODUCT(
  'User-Product'!$B23:$J23,
  INDEX('User-Product'!$B$2:$J$43, MATCH(AI$1, 'User-Product'!$A$2:$A$43, 0), 0)
)</f>
        <v>0</v>
      </c>
      <c r="AJ23" s="51">
        <f t="array" ref="AJ23">SUMPRODUCT(
  'User-Product'!$B23:$J23,
  INDEX('User-Product'!$B$2:$J$43, MATCH(AJ$1, 'User-Product'!$A$2:$A$43, 0), 0)
)</f>
        <v>0</v>
      </c>
      <c r="AK23" s="51">
        <f t="array" ref="AK23">SUMPRODUCT(
  'User-Product'!$B23:$J23,
  INDEX('User-Product'!$B$2:$J$43, MATCH(AK$1, 'User-Product'!$A$2:$A$43, 0), 0)
)</f>
        <v>1</v>
      </c>
      <c r="AL23" s="51">
        <f t="array" ref="AL23">SUMPRODUCT(
  'User-Product'!$B23:$J23,
  INDEX('User-Product'!$B$2:$J$43, MATCH(AL$1, 'User-Product'!$A$2:$A$43, 0), 0)
)</f>
        <v>1</v>
      </c>
      <c r="AM23" s="51">
        <f t="array" ref="AM23">SUMPRODUCT(
  'User-Product'!$B23:$J23,
  INDEX('User-Product'!$B$2:$J$43, MATCH(AM$1, 'User-Product'!$A$2:$A$43, 0), 0)
)</f>
        <v>1</v>
      </c>
      <c r="AN23" s="51">
        <f t="array" ref="AN23">SUMPRODUCT(
  'User-Product'!$B23:$J23,
  INDEX('User-Product'!$B$2:$J$43, MATCH(AN$1, 'User-Product'!$A$2:$A$43, 0), 0)
)</f>
        <v>1</v>
      </c>
      <c r="AO23" s="51">
        <f t="array" ref="AO23">SUMPRODUCT(
  'User-Product'!$B23:$J23,
  INDEX('User-Product'!$B$2:$J$43, MATCH(AO$1, 'User-Product'!$A$2:$A$43, 0), 0)
)</f>
        <v>0</v>
      </c>
      <c r="AP23" s="51">
        <f t="array" ref="AP23">SUMPRODUCT(
  'User-Product'!$B23:$J23,
  INDEX('User-Product'!$B$2:$J$43, MATCH(AP$1, 'User-Product'!$A$2:$A$43, 0), 0)
)</f>
        <v>1</v>
      </c>
      <c r="AQ23" s="51">
        <f t="array" ref="AQ23">SUMPRODUCT(
  'User-Product'!$B23:$J23,
  INDEX('User-Product'!$B$2:$J$43, MATCH(AQ$1, 'User-Product'!$A$2:$A$43, 0), 0)
)</f>
        <v>0</v>
      </c>
      <c r="AR23" s="51"/>
      <c r="AS23" s="51"/>
      <c r="AT23" s="51"/>
      <c r="AU23" s="51"/>
      <c r="AV23" s="51"/>
      <c r="AW23" s="51"/>
      <c r="AX23" s="51"/>
      <c r="AY23" s="51"/>
    </row>
    <row r="24">
      <c r="A24" s="52" t="s">
        <v>84</v>
      </c>
      <c r="B24" s="51">
        <f t="array" ref="B24">SUMPRODUCT(
  'User-Product'!$B24:$J24,
  INDEX('User-Product'!$B$2:$J$43, MATCH(B$1, 'User-Product'!$A$2:$A$43, 0), 0)
)</f>
        <v>1</v>
      </c>
      <c r="C24" s="51">
        <f t="array" ref="C24">SUMPRODUCT(
  'User-Product'!$B24:$J24,
  INDEX('User-Product'!$B$2:$J$43, MATCH(C$1, 'User-Product'!$A$2:$A$43, 0), 0)
)</f>
        <v>1</v>
      </c>
      <c r="D24" s="51">
        <f t="array" ref="D24">SUMPRODUCT(
  'User-Product'!$B24:$J24,
  INDEX('User-Product'!$B$2:$J$43, MATCH(D$1, 'User-Product'!$A$2:$A$43, 0), 0)
)</f>
        <v>0</v>
      </c>
      <c r="E24" s="51">
        <f t="array" ref="E24">SUMPRODUCT(
  'User-Product'!$B24:$J24,
  INDEX('User-Product'!$B$2:$J$43, MATCH(E$1, 'User-Product'!$A$2:$A$43, 0), 0)
)</f>
        <v>0</v>
      </c>
      <c r="F24" s="51">
        <f t="array" ref="F24">SUMPRODUCT(
  'User-Product'!$B24:$J24,
  INDEX('User-Product'!$B$2:$J$43, MATCH(F$1, 'User-Product'!$A$2:$A$43, 0), 0)
)</f>
        <v>1</v>
      </c>
      <c r="G24" s="51">
        <f t="array" ref="G24">SUMPRODUCT(
  'User-Product'!$B24:$J24,
  INDEX('User-Product'!$B$2:$J$43, MATCH(G$1, 'User-Product'!$A$2:$A$43, 0), 0)
)</f>
        <v>0</v>
      </c>
      <c r="H24" s="51">
        <f t="array" ref="H24">SUMPRODUCT(
  'User-Product'!$B24:$J24,
  INDEX('User-Product'!$B$2:$J$43, MATCH(H$1, 'User-Product'!$A$2:$A$43, 0), 0)
)</f>
        <v>1</v>
      </c>
      <c r="I24" s="51">
        <f t="array" ref="I24">SUMPRODUCT(
  'User-Product'!$B24:$J24,
  INDEX('User-Product'!$B$2:$J$43, MATCH(I$1, 'User-Product'!$A$2:$A$43, 0), 0)
)</f>
        <v>1</v>
      </c>
      <c r="J24" s="51">
        <f t="array" ref="J24">SUMPRODUCT(
  'User-Product'!$B24:$J24,
  INDEX('User-Product'!$B$2:$J$43, MATCH(J$1, 'User-Product'!$A$2:$A$43, 0), 0)
)</f>
        <v>0</v>
      </c>
      <c r="K24" s="51">
        <f t="array" ref="K24">SUMPRODUCT(
  'User-Product'!$B24:$J24,
  INDEX('User-Product'!$B$2:$J$43, MATCH(K$1, 'User-Product'!$A$2:$A$43, 0), 0)
)</f>
        <v>0</v>
      </c>
      <c r="L24" s="51">
        <f t="array" ref="L24">SUMPRODUCT(
  'User-Product'!$B24:$J24,
  INDEX('User-Product'!$B$2:$J$43, MATCH(L$1, 'User-Product'!$A$2:$A$43, 0), 0)
)</f>
        <v>0</v>
      </c>
      <c r="M24" s="51">
        <f t="array" ref="M24">SUMPRODUCT(
  'User-Product'!$B24:$J24,
  INDEX('User-Product'!$B$2:$J$43, MATCH(M$1, 'User-Product'!$A$2:$A$43, 0), 0)
)</f>
        <v>1</v>
      </c>
      <c r="N24" s="51">
        <f t="array" ref="N24">SUMPRODUCT(
  'User-Product'!$B24:$J24,
  INDEX('User-Product'!$B$2:$J$43, MATCH(N$1, 'User-Product'!$A$2:$A$43, 0), 0)
)</f>
        <v>0</v>
      </c>
      <c r="O24" s="51">
        <f t="array" ref="O24">SUMPRODUCT(
  'User-Product'!$B24:$J24,
  INDEX('User-Product'!$B$2:$J$43, MATCH(O$1, 'User-Product'!$A$2:$A$43, 0), 0)
)</f>
        <v>0</v>
      </c>
      <c r="P24" s="51">
        <f t="array" ref="P24">SUMPRODUCT(
  'User-Product'!$B24:$J24,
  INDEX('User-Product'!$B$2:$J$43, MATCH(P$1, 'User-Product'!$A$2:$A$43, 0), 0)
)</f>
        <v>0</v>
      </c>
      <c r="Q24" s="51">
        <f t="array" ref="Q24">SUMPRODUCT(
  'User-Product'!$B24:$J24,
  INDEX('User-Product'!$B$2:$J$43, MATCH(Q$1, 'User-Product'!$A$2:$A$43, 0), 0)
)</f>
        <v>0</v>
      </c>
      <c r="R24" s="51">
        <f t="array" ref="R24">SUMPRODUCT(
  'User-Product'!$B24:$J24,
  INDEX('User-Product'!$B$2:$J$43, MATCH(R$1, 'User-Product'!$A$2:$A$43, 0), 0)
)</f>
        <v>0</v>
      </c>
      <c r="S24" s="51">
        <f t="array" ref="S24">SUMPRODUCT(
  'User-Product'!$B24:$J24,
  INDEX('User-Product'!$B$2:$J$43, MATCH(S$1, 'User-Product'!$A$2:$A$43, 0), 0)
)</f>
        <v>1</v>
      </c>
      <c r="T24" s="51">
        <f t="array" ref="T24">SUMPRODUCT(
  'User-Product'!$B24:$J24,
  INDEX('User-Product'!$B$2:$J$43, MATCH(T$1, 'User-Product'!$A$2:$A$43, 0), 0)
)</f>
        <v>1</v>
      </c>
      <c r="U24" s="51">
        <f t="array" ref="U24">SUMPRODUCT(
  'User-Product'!$B24:$J24,
  INDEX('User-Product'!$B$2:$J$43, MATCH(U$1, 'User-Product'!$A$2:$A$43, 0), 0)
)</f>
        <v>1</v>
      </c>
      <c r="V24" s="51">
        <f t="array" ref="V24">SUMPRODUCT(
  'User-Product'!$B24:$J24,
  INDEX('User-Product'!$B$2:$J$43, MATCH(V$1, 'User-Product'!$A$2:$A$43, 0), 0)
)</f>
        <v>0</v>
      </c>
      <c r="W24" s="51">
        <f t="array" ref="W24">SUMPRODUCT(
  'User-Product'!$B24:$J24,
  INDEX('User-Product'!$B$2:$J$43, MATCH(W$1, 'User-Product'!$A$2:$A$43, 0), 0)
)</f>
        <v>1</v>
      </c>
      <c r="X24" s="51">
        <f t="array" ref="X24">SUMPRODUCT(
  'User-Product'!$B24:$J24,
  INDEX('User-Product'!$B$2:$J$43, MATCH(X$1, 'User-Product'!$A$2:$A$43, 0), 0)
)</f>
        <v>1</v>
      </c>
      <c r="Y24" s="51">
        <f t="array" ref="Y24">SUMPRODUCT(
  'User-Product'!$B24:$J24,
  INDEX('User-Product'!$B$2:$J$43, MATCH(Y$1, 'User-Product'!$A$2:$A$43, 0), 0)
)</f>
        <v>0</v>
      </c>
      <c r="Z24" s="51">
        <f t="array" ref="Z24">SUMPRODUCT(
  'User-Product'!$B24:$J24,
  INDEX('User-Product'!$B$2:$J$43, MATCH(Z$1, 'User-Product'!$A$2:$A$43, 0), 0)
)</f>
        <v>1</v>
      </c>
      <c r="AA24" s="51">
        <f t="array" ref="AA24">SUMPRODUCT(
  'User-Product'!$B24:$J24,
  INDEX('User-Product'!$B$2:$J$43, MATCH(AA$1, 'User-Product'!$A$2:$A$43, 0), 0)
)</f>
        <v>1</v>
      </c>
      <c r="AB24" s="51">
        <f t="array" ref="AB24">SUMPRODUCT(
  'User-Product'!$B24:$J24,
  INDEX('User-Product'!$B$2:$J$43, MATCH(AB$1, 'User-Product'!$A$2:$A$43, 0), 0)
)</f>
        <v>1</v>
      </c>
      <c r="AC24" s="51">
        <f t="array" ref="AC24">SUMPRODUCT(
  'User-Product'!$B24:$J24,
  INDEX('User-Product'!$B$2:$J$43, MATCH(AC$1, 'User-Product'!$A$2:$A$43, 0), 0)
)</f>
        <v>1</v>
      </c>
      <c r="AD24" s="51">
        <f t="array" ref="AD24">SUMPRODUCT(
  'User-Product'!$B24:$J24,
  INDEX('User-Product'!$B$2:$J$43, MATCH(AD$1, 'User-Product'!$A$2:$A$43, 0), 0)
)</f>
        <v>0</v>
      </c>
      <c r="AE24" s="51">
        <f t="array" ref="AE24">SUMPRODUCT(
  'User-Product'!$B24:$J24,
  INDEX('User-Product'!$B$2:$J$43, MATCH(AE$1, 'User-Product'!$A$2:$A$43, 0), 0)
)</f>
        <v>1</v>
      </c>
      <c r="AF24" s="51">
        <f t="array" ref="AF24">SUMPRODUCT(
  'User-Product'!$B24:$J24,
  INDEX('User-Product'!$B$2:$J$43, MATCH(AF$1, 'User-Product'!$A$2:$A$43, 0), 0)
)</f>
        <v>1</v>
      </c>
      <c r="AG24" s="51">
        <f t="array" ref="AG24">SUMPRODUCT(
  'User-Product'!$B24:$J24,
  INDEX('User-Product'!$B$2:$J$43, MATCH(AG$1, 'User-Product'!$A$2:$A$43, 0), 0)
)</f>
        <v>0</v>
      </c>
      <c r="AH24" s="51">
        <f t="array" ref="AH24">SUMPRODUCT(
  'User-Product'!$B24:$J24,
  INDEX('User-Product'!$B$2:$J$43, MATCH(AH$1, 'User-Product'!$A$2:$A$43, 0), 0)
)</f>
        <v>0</v>
      </c>
      <c r="AI24" s="51">
        <f t="array" ref="AI24">SUMPRODUCT(
  'User-Product'!$B24:$J24,
  INDEX('User-Product'!$B$2:$J$43, MATCH(AI$1, 'User-Product'!$A$2:$A$43, 0), 0)
)</f>
        <v>0</v>
      </c>
      <c r="AJ24" s="51">
        <f t="array" ref="AJ24">SUMPRODUCT(
  'User-Product'!$B24:$J24,
  INDEX('User-Product'!$B$2:$J$43, MATCH(AJ$1, 'User-Product'!$A$2:$A$43, 0), 0)
)</f>
        <v>0</v>
      </c>
      <c r="AK24" s="51">
        <f t="array" ref="AK24">SUMPRODUCT(
  'User-Product'!$B24:$J24,
  INDEX('User-Product'!$B$2:$J$43, MATCH(AK$1, 'User-Product'!$A$2:$A$43, 0), 0)
)</f>
        <v>1</v>
      </c>
      <c r="AL24" s="51">
        <f t="array" ref="AL24">SUMPRODUCT(
  'User-Product'!$B24:$J24,
  INDEX('User-Product'!$B$2:$J$43, MATCH(AL$1, 'User-Product'!$A$2:$A$43, 0), 0)
)</f>
        <v>1</v>
      </c>
      <c r="AM24" s="51">
        <f t="array" ref="AM24">SUMPRODUCT(
  'User-Product'!$B24:$J24,
  INDEX('User-Product'!$B$2:$J$43, MATCH(AM$1, 'User-Product'!$A$2:$A$43, 0), 0)
)</f>
        <v>1</v>
      </c>
      <c r="AN24" s="51">
        <f t="array" ref="AN24">SUMPRODUCT(
  'User-Product'!$B24:$J24,
  INDEX('User-Product'!$B$2:$J$43, MATCH(AN$1, 'User-Product'!$A$2:$A$43, 0), 0)
)</f>
        <v>1</v>
      </c>
      <c r="AO24" s="51">
        <f t="array" ref="AO24">SUMPRODUCT(
  'User-Product'!$B24:$J24,
  INDEX('User-Product'!$B$2:$J$43, MATCH(AO$1, 'User-Product'!$A$2:$A$43, 0), 0)
)</f>
        <v>0</v>
      </c>
      <c r="AP24" s="51">
        <f t="array" ref="AP24">SUMPRODUCT(
  'User-Product'!$B24:$J24,
  INDEX('User-Product'!$B$2:$J$43, MATCH(AP$1, 'User-Product'!$A$2:$A$43, 0), 0)
)</f>
        <v>1</v>
      </c>
      <c r="AQ24" s="51">
        <f t="array" ref="AQ24">SUMPRODUCT(
  'User-Product'!$B24:$J24,
  INDEX('User-Product'!$B$2:$J$43, MATCH(AQ$1, 'User-Product'!$A$2:$A$43, 0), 0)
)</f>
        <v>0</v>
      </c>
      <c r="AR24" s="51"/>
      <c r="AS24" s="51"/>
      <c r="AT24" s="51"/>
      <c r="AU24" s="51"/>
      <c r="AV24" s="51"/>
      <c r="AW24" s="51"/>
      <c r="AX24" s="51"/>
      <c r="AY24" s="51"/>
    </row>
    <row r="25">
      <c r="A25" s="52" t="s">
        <v>85</v>
      </c>
      <c r="B25" s="51">
        <f t="array" ref="B25">SUMPRODUCT(
  'User-Product'!$B25:$J25,
  INDEX('User-Product'!$B$2:$J$43, MATCH(B$1, 'User-Product'!$A$2:$A$43, 0), 0)
)</f>
        <v>2</v>
      </c>
      <c r="C25" s="51">
        <f t="array" ref="C25">SUMPRODUCT(
  'User-Product'!$B25:$J25,
  INDEX('User-Product'!$B$2:$J$43, MATCH(C$1, 'User-Product'!$A$2:$A$43, 0), 0)
)</f>
        <v>1</v>
      </c>
      <c r="D25" s="51">
        <f t="array" ref="D25">SUMPRODUCT(
  'User-Product'!$B25:$J25,
  INDEX('User-Product'!$B$2:$J$43, MATCH(D$1, 'User-Product'!$A$2:$A$43, 0), 0)
)</f>
        <v>1</v>
      </c>
      <c r="E25" s="51">
        <f t="array" ref="E25">SUMPRODUCT(
  'User-Product'!$B25:$J25,
  INDEX('User-Product'!$B$2:$J$43, MATCH(E$1, 'User-Product'!$A$2:$A$43, 0), 0)
)</f>
        <v>0</v>
      </c>
      <c r="F25" s="51">
        <f t="array" ref="F25">SUMPRODUCT(
  'User-Product'!$B25:$J25,
  INDEX('User-Product'!$B$2:$J$43, MATCH(F$1, 'User-Product'!$A$2:$A$43, 0), 0)
)</f>
        <v>3</v>
      </c>
      <c r="G25" s="51">
        <f t="array" ref="G25">SUMPRODUCT(
  'User-Product'!$B25:$J25,
  INDEX('User-Product'!$B$2:$J$43, MATCH(G$1, 'User-Product'!$A$2:$A$43, 0), 0)
)</f>
        <v>2</v>
      </c>
      <c r="H25" s="51">
        <f t="array" ref="H25">SUMPRODUCT(
  'User-Product'!$B25:$J25,
  INDEX('User-Product'!$B$2:$J$43, MATCH(H$1, 'User-Product'!$A$2:$A$43, 0), 0)
)</f>
        <v>2</v>
      </c>
      <c r="I25" s="51">
        <f t="array" ref="I25">SUMPRODUCT(
  'User-Product'!$B25:$J25,
  INDEX('User-Product'!$B$2:$J$43, MATCH(I$1, 'User-Product'!$A$2:$A$43, 0), 0)
)</f>
        <v>1</v>
      </c>
      <c r="J25" s="51">
        <f t="array" ref="J25">SUMPRODUCT(
  'User-Product'!$B25:$J25,
  INDEX('User-Product'!$B$2:$J$43, MATCH(J$1, 'User-Product'!$A$2:$A$43, 0), 0)
)</f>
        <v>3</v>
      </c>
      <c r="K25" s="51">
        <f t="array" ref="K25">SUMPRODUCT(
  'User-Product'!$B25:$J25,
  INDEX('User-Product'!$B$2:$J$43, MATCH(K$1, 'User-Product'!$A$2:$A$43, 0), 0)
)</f>
        <v>3</v>
      </c>
      <c r="L25" s="51">
        <f t="array" ref="L25">SUMPRODUCT(
  'User-Product'!$B25:$J25,
  INDEX('User-Product'!$B$2:$J$43, MATCH(L$1, 'User-Product'!$A$2:$A$43, 0), 0)
)</f>
        <v>1</v>
      </c>
      <c r="M25" s="51">
        <f t="array" ref="M25">SUMPRODUCT(
  'User-Product'!$B25:$J25,
  INDEX('User-Product'!$B$2:$J$43, MATCH(M$1, 'User-Product'!$A$2:$A$43, 0), 0)
)</f>
        <v>0</v>
      </c>
      <c r="N25" s="51">
        <f t="array" ref="N25">SUMPRODUCT(
  'User-Product'!$B25:$J25,
  INDEX('User-Product'!$B$2:$J$43, MATCH(N$1, 'User-Product'!$A$2:$A$43, 0), 0)
)</f>
        <v>1</v>
      </c>
      <c r="O25" s="51">
        <f t="array" ref="O25">SUMPRODUCT(
  'User-Product'!$B25:$J25,
  INDEX('User-Product'!$B$2:$J$43, MATCH(O$1, 'User-Product'!$A$2:$A$43, 0), 0)
)</f>
        <v>2</v>
      </c>
      <c r="P25" s="51">
        <f t="array" ref="P25">SUMPRODUCT(
  'User-Product'!$B25:$J25,
  INDEX('User-Product'!$B$2:$J$43, MATCH(P$1, 'User-Product'!$A$2:$A$43, 0), 0)
)</f>
        <v>0</v>
      </c>
      <c r="Q25" s="51">
        <f t="array" ref="Q25">SUMPRODUCT(
  'User-Product'!$B25:$J25,
  INDEX('User-Product'!$B$2:$J$43, MATCH(Q$1, 'User-Product'!$A$2:$A$43, 0), 0)
)</f>
        <v>0</v>
      </c>
      <c r="R25" s="51">
        <f t="array" ref="R25">SUMPRODUCT(
  'User-Product'!$B25:$J25,
  INDEX('User-Product'!$B$2:$J$43, MATCH(R$1, 'User-Product'!$A$2:$A$43, 0), 0)
)</f>
        <v>1</v>
      </c>
      <c r="S25" s="51">
        <f t="array" ref="S25">SUMPRODUCT(
  'User-Product'!$B25:$J25,
  INDEX('User-Product'!$B$2:$J$43, MATCH(S$1, 'User-Product'!$A$2:$A$43, 0), 0)
)</f>
        <v>0</v>
      </c>
      <c r="T25" s="51">
        <f t="array" ref="T25">SUMPRODUCT(
  'User-Product'!$B25:$J25,
  INDEX('User-Product'!$B$2:$J$43, MATCH(T$1, 'User-Product'!$A$2:$A$43, 0), 0)
)</f>
        <v>1</v>
      </c>
      <c r="U25" s="51">
        <f t="array" ref="U25">SUMPRODUCT(
  'User-Product'!$B25:$J25,
  INDEX('User-Product'!$B$2:$J$43, MATCH(U$1, 'User-Product'!$A$2:$A$43, 0), 0)
)</f>
        <v>1</v>
      </c>
      <c r="V25" s="51">
        <f t="array" ref="V25">SUMPRODUCT(
  'User-Product'!$B25:$J25,
  INDEX('User-Product'!$B$2:$J$43, MATCH(V$1, 'User-Product'!$A$2:$A$43, 0), 0)
)</f>
        <v>0</v>
      </c>
      <c r="W25" s="51">
        <f t="array" ref="W25">SUMPRODUCT(
  'User-Product'!$B25:$J25,
  INDEX('User-Product'!$B$2:$J$43, MATCH(W$1, 'User-Product'!$A$2:$A$43, 0), 0)
)</f>
        <v>0</v>
      </c>
      <c r="X25" s="51">
        <f t="array" ref="X25">SUMPRODUCT(
  'User-Product'!$B25:$J25,
  INDEX('User-Product'!$B$2:$J$43, MATCH(X$1, 'User-Product'!$A$2:$A$43, 0), 0)
)</f>
        <v>0</v>
      </c>
      <c r="Y25" s="51">
        <f t="array" ref="Y25">SUMPRODUCT(
  'User-Product'!$B25:$J25,
  INDEX('User-Product'!$B$2:$J$43, MATCH(Y$1, 'User-Product'!$A$2:$A$43, 0), 0)
)</f>
        <v>3</v>
      </c>
      <c r="Z25" s="51">
        <f t="array" ref="Z25">SUMPRODUCT(
  'User-Product'!$B25:$J25,
  INDEX('User-Product'!$B$2:$J$43, MATCH(Z$1, 'User-Product'!$A$2:$A$43, 0), 0)
)</f>
        <v>0</v>
      </c>
      <c r="AA25" s="51">
        <f t="array" ref="AA25">SUMPRODUCT(
  'User-Product'!$B25:$J25,
  INDEX('User-Product'!$B$2:$J$43, MATCH(AA$1, 'User-Product'!$A$2:$A$43, 0), 0)
)</f>
        <v>0</v>
      </c>
      <c r="AB25" s="51">
        <f t="array" ref="AB25">SUMPRODUCT(
  'User-Product'!$B25:$J25,
  INDEX('User-Product'!$B$2:$J$43, MATCH(AB$1, 'User-Product'!$A$2:$A$43, 0), 0)
)</f>
        <v>3</v>
      </c>
      <c r="AC25" s="51">
        <f t="array" ref="AC25">SUMPRODUCT(
  'User-Product'!$B25:$J25,
  INDEX('User-Product'!$B$2:$J$43, MATCH(AC$1, 'User-Product'!$A$2:$A$43, 0), 0)
)</f>
        <v>1</v>
      </c>
      <c r="AD25" s="51">
        <f t="array" ref="AD25">SUMPRODUCT(
  'User-Product'!$B25:$J25,
  INDEX('User-Product'!$B$2:$J$43, MATCH(AD$1, 'User-Product'!$A$2:$A$43, 0), 0)
)</f>
        <v>2</v>
      </c>
      <c r="AE25" s="51">
        <f t="array" ref="AE25">SUMPRODUCT(
  'User-Product'!$B25:$J25,
  INDEX('User-Product'!$B$2:$J$43, MATCH(AE$1, 'User-Product'!$A$2:$A$43, 0), 0)
)</f>
        <v>2</v>
      </c>
      <c r="AF25" s="51">
        <f t="array" ref="AF25">SUMPRODUCT(
  'User-Product'!$B25:$J25,
  INDEX('User-Product'!$B$2:$J$43, MATCH(AF$1, 'User-Product'!$A$2:$A$43, 0), 0)
)</f>
        <v>3</v>
      </c>
      <c r="AG25" s="51">
        <f t="array" ref="AG25">SUMPRODUCT(
  'User-Product'!$B25:$J25,
  INDEX('User-Product'!$B$2:$J$43, MATCH(AG$1, 'User-Product'!$A$2:$A$43, 0), 0)
)</f>
        <v>0</v>
      </c>
      <c r="AH25" s="51">
        <f t="array" ref="AH25">SUMPRODUCT(
  'User-Product'!$B25:$J25,
  INDEX('User-Product'!$B$2:$J$43, MATCH(AH$1, 'User-Product'!$A$2:$A$43, 0), 0)
)</f>
        <v>2</v>
      </c>
      <c r="AI25" s="51">
        <f t="array" ref="AI25">SUMPRODUCT(
  'User-Product'!$B25:$J25,
  INDEX('User-Product'!$B$2:$J$43, MATCH(AI$1, 'User-Product'!$A$2:$A$43, 0), 0)
)</f>
        <v>2</v>
      </c>
      <c r="AJ25" s="51">
        <f t="array" ref="AJ25">SUMPRODUCT(
  'User-Product'!$B25:$J25,
  INDEX('User-Product'!$B$2:$J$43, MATCH(AJ$1, 'User-Product'!$A$2:$A$43, 0), 0)
)</f>
        <v>0</v>
      </c>
      <c r="AK25" s="51">
        <f t="array" ref="AK25">SUMPRODUCT(
  'User-Product'!$B25:$J25,
  INDEX('User-Product'!$B$2:$J$43, MATCH(AK$1, 'User-Product'!$A$2:$A$43, 0), 0)
)</f>
        <v>0</v>
      </c>
      <c r="AL25" s="51">
        <f t="array" ref="AL25">SUMPRODUCT(
  'User-Product'!$B25:$J25,
  INDEX('User-Product'!$B$2:$J$43, MATCH(AL$1, 'User-Product'!$A$2:$A$43, 0), 0)
)</f>
        <v>2</v>
      </c>
      <c r="AM25" s="51">
        <f t="array" ref="AM25">SUMPRODUCT(
  'User-Product'!$B25:$J25,
  INDEX('User-Product'!$B$2:$J$43, MATCH(AM$1, 'User-Product'!$A$2:$A$43, 0), 0)
)</f>
        <v>0</v>
      </c>
      <c r="AN25" s="51">
        <f t="array" ref="AN25">SUMPRODUCT(
  'User-Product'!$B25:$J25,
  INDEX('User-Product'!$B$2:$J$43, MATCH(AN$1, 'User-Product'!$A$2:$A$43, 0), 0)
)</f>
        <v>3</v>
      </c>
      <c r="AO25" s="51">
        <f t="array" ref="AO25">SUMPRODUCT(
  'User-Product'!$B25:$J25,
  INDEX('User-Product'!$B$2:$J$43, MATCH(AO$1, 'User-Product'!$A$2:$A$43, 0), 0)
)</f>
        <v>0</v>
      </c>
      <c r="AP25" s="51">
        <f t="array" ref="AP25">SUMPRODUCT(
  'User-Product'!$B25:$J25,
  INDEX('User-Product'!$B$2:$J$43, MATCH(AP$1, 'User-Product'!$A$2:$A$43, 0), 0)
)</f>
        <v>1</v>
      </c>
      <c r="AQ25" s="51">
        <f t="array" ref="AQ25">SUMPRODUCT(
  'User-Product'!$B25:$J25,
  INDEX('User-Product'!$B$2:$J$43, MATCH(AQ$1, 'User-Product'!$A$2:$A$43, 0), 0)
)</f>
        <v>3</v>
      </c>
      <c r="AR25" s="51"/>
      <c r="AS25" s="51"/>
      <c r="AT25" s="51"/>
      <c r="AU25" s="51"/>
      <c r="AV25" s="51"/>
      <c r="AW25" s="51"/>
      <c r="AX25" s="51"/>
      <c r="AY25" s="51"/>
    </row>
    <row r="26">
      <c r="A26" s="52" t="s">
        <v>86</v>
      </c>
      <c r="B26" s="51">
        <f t="array" ref="B26">SUMPRODUCT(
  'User-Product'!$B26:$J26,
  INDEX('User-Product'!$B$2:$J$43, MATCH(B$1, 'User-Product'!$A$2:$A$43, 0), 0)
)</f>
        <v>1</v>
      </c>
      <c r="C26" s="51">
        <f t="array" ref="C26">SUMPRODUCT(
  'User-Product'!$B26:$J26,
  INDEX('User-Product'!$B$2:$J$43, MATCH(C$1, 'User-Product'!$A$2:$A$43, 0), 0)
)</f>
        <v>1</v>
      </c>
      <c r="D26" s="51">
        <f t="array" ref="D26">SUMPRODUCT(
  'User-Product'!$B26:$J26,
  INDEX('User-Product'!$B$2:$J$43, MATCH(D$1, 'User-Product'!$A$2:$A$43, 0), 0)
)</f>
        <v>0</v>
      </c>
      <c r="E26" s="51">
        <f t="array" ref="E26">SUMPRODUCT(
  'User-Product'!$B26:$J26,
  INDEX('User-Product'!$B$2:$J$43, MATCH(E$1, 'User-Product'!$A$2:$A$43, 0), 0)
)</f>
        <v>0</v>
      </c>
      <c r="F26" s="51">
        <f t="array" ref="F26">SUMPRODUCT(
  'User-Product'!$B26:$J26,
  INDEX('User-Product'!$B$2:$J$43, MATCH(F$1, 'User-Product'!$A$2:$A$43, 0), 0)
)</f>
        <v>1</v>
      </c>
      <c r="G26" s="51">
        <f t="array" ref="G26">SUMPRODUCT(
  'User-Product'!$B26:$J26,
  INDEX('User-Product'!$B$2:$J$43, MATCH(G$1, 'User-Product'!$A$2:$A$43, 0), 0)
)</f>
        <v>0</v>
      </c>
      <c r="H26" s="51">
        <f t="array" ref="H26">SUMPRODUCT(
  'User-Product'!$B26:$J26,
  INDEX('User-Product'!$B$2:$J$43, MATCH(H$1, 'User-Product'!$A$2:$A$43, 0), 0)
)</f>
        <v>1</v>
      </c>
      <c r="I26" s="51">
        <f t="array" ref="I26">SUMPRODUCT(
  'User-Product'!$B26:$J26,
  INDEX('User-Product'!$B$2:$J$43, MATCH(I$1, 'User-Product'!$A$2:$A$43, 0), 0)
)</f>
        <v>1</v>
      </c>
      <c r="J26" s="51">
        <f t="array" ref="J26">SUMPRODUCT(
  'User-Product'!$B26:$J26,
  INDEX('User-Product'!$B$2:$J$43, MATCH(J$1, 'User-Product'!$A$2:$A$43, 0), 0)
)</f>
        <v>0</v>
      </c>
      <c r="K26" s="51">
        <f t="array" ref="K26">SUMPRODUCT(
  'User-Product'!$B26:$J26,
  INDEX('User-Product'!$B$2:$J$43, MATCH(K$1, 'User-Product'!$A$2:$A$43, 0), 0)
)</f>
        <v>0</v>
      </c>
      <c r="L26" s="51">
        <f t="array" ref="L26">SUMPRODUCT(
  'User-Product'!$B26:$J26,
  INDEX('User-Product'!$B$2:$J$43, MATCH(L$1, 'User-Product'!$A$2:$A$43, 0), 0)
)</f>
        <v>0</v>
      </c>
      <c r="M26" s="51">
        <f t="array" ref="M26">SUMPRODUCT(
  'User-Product'!$B26:$J26,
  INDEX('User-Product'!$B$2:$J$43, MATCH(M$1, 'User-Product'!$A$2:$A$43, 0), 0)
)</f>
        <v>1</v>
      </c>
      <c r="N26" s="51">
        <f t="array" ref="N26">SUMPRODUCT(
  'User-Product'!$B26:$J26,
  INDEX('User-Product'!$B$2:$J$43, MATCH(N$1, 'User-Product'!$A$2:$A$43, 0), 0)
)</f>
        <v>0</v>
      </c>
      <c r="O26" s="51">
        <f t="array" ref="O26">SUMPRODUCT(
  'User-Product'!$B26:$J26,
  INDEX('User-Product'!$B$2:$J$43, MATCH(O$1, 'User-Product'!$A$2:$A$43, 0), 0)
)</f>
        <v>0</v>
      </c>
      <c r="P26" s="51">
        <f t="array" ref="P26">SUMPRODUCT(
  'User-Product'!$B26:$J26,
  INDEX('User-Product'!$B$2:$J$43, MATCH(P$1, 'User-Product'!$A$2:$A$43, 0), 0)
)</f>
        <v>0</v>
      </c>
      <c r="Q26" s="51">
        <f t="array" ref="Q26">SUMPRODUCT(
  'User-Product'!$B26:$J26,
  INDEX('User-Product'!$B$2:$J$43, MATCH(Q$1, 'User-Product'!$A$2:$A$43, 0), 0)
)</f>
        <v>0</v>
      </c>
      <c r="R26" s="51">
        <f t="array" ref="R26">SUMPRODUCT(
  'User-Product'!$B26:$J26,
  INDEX('User-Product'!$B$2:$J$43, MATCH(R$1, 'User-Product'!$A$2:$A$43, 0), 0)
)</f>
        <v>0</v>
      </c>
      <c r="S26" s="51">
        <f t="array" ref="S26">SUMPRODUCT(
  'User-Product'!$B26:$J26,
  INDEX('User-Product'!$B$2:$J$43, MATCH(S$1, 'User-Product'!$A$2:$A$43, 0), 0)
)</f>
        <v>1</v>
      </c>
      <c r="T26" s="51">
        <f t="array" ref="T26">SUMPRODUCT(
  'User-Product'!$B26:$J26,
  INDEX('User-Product'!$B$2:$J$43, MATCH(T$1, 'User-Product'!$A$2:$A$43, 0), 0)
)</f>
        <v>1</v>
      </c>
      <c r="U26" s="51">
        <f t="array" ref="U26">SUMPRODUCT(
  'User-Product'!$B26:$J26,
  INDEX('User-Product'!$B$2:$J$43, MATCH(U$1, 'User-Product'!$A$2:$A$43, 0), 0)
)</f>
        <v>1</v>
      </c>
      <c r="V26" s="51">
        <f t="array" ref="V26">SUMPRODUCT(
  'User-Product'!$B26:$J26,
  INDEX('User-Product'!$B$2:$J$43, MATCH(V$1, 'User-Product'!$A$2:$A$43, 0), 0)
)</f>
        <v>0</v>
      </c>
      <c r="W26" s="51">
        <f t="array" ref="W26">SUMPRODUCT(
  'User-Product'!$B26:$J26,
  INDEX('User-Product'!$B$2:$J$43, MATCH(W$1, 'User-Product'!$A$2:$A$43, 0), 0)
)</f>
        <v>1</v>
      </c>
      <c r="X26" s="51">
        <f t="array" ref="X26">SUMPRODUCT(
  'User-Product'!$B26:$J26,
  INDEX('User-Product'!$B$2:$J$43, MATCH(X$1, 'User-Product'!$A$2:$A$43, 0), 0)
)</f>
        <v>1</v>
      </c>
      <c r="Y26" s="51">
        <f t="array" ref="Y26">SUMPRODUCT(
  'User-Product'!$B26:$J26,
  INDEX('User-Product'!$B$2:$J$43, MATCH(Y$1, 'User-Product'!$A$2:$A$43, 0), 0)
)</f>
        <v>0</v>
      </c>
      <c r="Z26" s="51">
        <f t="array" ref="Z26">SUMPRODUCT(
  'User-Product'!$B26:$J26,
  INDEX('User-Product'!$B$2:$J$43, MATCH(Z$1, 'User-Product'!$A$2:$A$43, 0), 0)
)</f>
        <v>1</v>
      </c>
      <c r="AA26" s="51">
        <f t="array" ref="AA26">SUMPRODUCT(
  'User-Product'!$B26:$J26,
  INDEX('User-Product'!$B$2:$J$43, MATCH(AA$1, 'User-Product'!$A$2:$A$43, 0), 0)
)</f>
        <v>1</v>
      </c>
      <c r="AB26" s="51">
        <f t="array" ref="AB26">SUMPRODUCT(
  'User-Product'!$B26:$J26,
  INDEX('User-Product'!$B$2:$J$43, MATCH(AB$1, 'User-Product'!$A$2:$A$43, 0), 0)
)</f>
        <v>1</v>
      </c>
      <c r="AC26" s="51">
        <f t="array" ref="AC26">SUMPRODUCT(
  'User-Product'!$B26:$J26,
  INDEX('User-Product'!$B$2:$J$43, MATCH(AC$1, 'User-Product'!$A$2:$A$43, 0), 0)
)</f>
        <v>1</v>
      </c>
      <c r="AD26" s="51">
        <f t="array" ref="AD26">SUMPRODUCT(
  'User-Product'!$B26:$J26,
  INDEX('User-Product'!$B$2:$J$43, MATCH(AD$1, 'User-Product'!$A$2:$A$43, 0), 0)
)</f>
        <v>0</v>
      </c>
      <c r="AE26" s="51">
        <f t="array" ref="AE26">SUMPRODUCT(
  'User-Product'!$B26:$J26,
  INDEX('User-Product'!$B$2:$J$43, MATCH(AE$1, 'User-Product'!$A$2:$A$43, 0), 0)
)</f>
        <v>1</v>
      </c>
      <c r="AF26" s="51">
        <f t="array" ref="AF26">SUMPRODUCT(
  'User-Product'!$B26:$J26,
  INDEX('User-Product'!$B$2:$J$43, MATCH(AF$1, 'User-Product'!$A$2:$A$43, 0), 0)
)</f>
        <v>1</v>
      </c>
      <c r="AG26" s="51">
        <f t="array" ref="AG26">SUMPRODUCT(
  'User-Product'!$B26:$J26,
  INDEX('User-Product'!$B$2:$J$43, MATCH(AG$1, 'User-Product'!$A$2:$A$43, 0), 0)
)</f>
        <v>0</v>
      </c>
      <c r="AH26" s="51">
        <f t="array" ref="AH26">SUMPRODUCT(
  'User-Product'!$B26:$J26,
  INDEX('User-Product'!$B$2:$J$43, MATCH(AH$1, 'User-Product'!$A$2:$A$43, 0), 0)
)</f>
        <v>0</v>
      </c>
      <c r="AI26" s="51">
        <f t="array" ref="AI26">SUMPRODUCT(
  'User-Product'!$B26:$J26,
  INDEX('User-Product'!$B$2:$J$43, MATCH(AI$1, 'User-Product'!$A$2:$A$43, 0), 0)
)</f>
        <v>0</v>
      </c>
      <c r="AJ26" s="51">
        <f t="array" ref="AJ26">SUMPRODUCT(
  'User-Product'!$B26:$J26,
  INDEX('User-Product'!$B$2:$J$43, MATCH(AJ$1, 'User-Product'!$A$2:$A$43, 0), 0)
)</f>
        <v>0</v>
      </c>
      <c r="AK26" s="51">
        <f t="array" ref="AK26">SUMPRODUCT(
  'User-Product'!$B26:$J26,
  INDEX('User-Product'!$B$2:$J$43, MATCH(AK$1, 'User-Product'!$A$2:$A$43, 0), 0)
)</f>
        <v>1</v>
      </c>
      <c r="AL26" s="51">
        <f t="array" ref="AL26">SUMPRODUCT(
  'User-Product'!$B26:$J26,
  INDEX('User-Product'!$B$2:$J$43, MATCH(AL$1, 'User-Product'!$A$2:$A$43, 0), 0)
)</f>
        <v>1</v>
      </c>
      <c r="AM26" s="51">
        <f t="array" ref="AM26">SUMPRODUCT(
  'User-Product'!$B26:$J26,
  INDEX('User-Product'!$B$2:$J$43, MATCH(AM$1, 'User-Product'!$A$2:$A$43, 0), 0)
)</f>
        <v>1</v>
      </c>
      <c r="AN26" s="51">
        <f t="array" ref="AN26">SUMPRODUCT(
  'User-Product'!$B26:$J26,
  INDEX('User-Product'!$B$2:$J$43, MATCH(AN$1, 'User-Product'!$A$2:$A$43, 0), 0)
)</f>
        <v>1</v>
      </c>
      <c r="AO26" s="51">
        <f t="array" ref="AO26">SUMPRODUCT(
  'User-Product'!$B26:$J26,
  INDEX('User-Product'!$B$2:$J$43, MATCH(AO$1, 'User-Product'!$A$2:$A$43, 0), 0)
)</f>
        <v>0</v>
      </c>
      <c r="AP26" s="51">
        <f t="array" ref="AP26">SUMPRODUCT(
  'User-Product'!$B26:$J26,
  INDEX('User-Product'!$B$2:$J$43, MATCH(AP$1, 'User-Product'!$A$2:$A$43, 0), 0)
)</f>
        <v>1</v>
      </c>
      <c r="AQ26" s="51">
        <f t="array" ref="AQ26">SUMPRODUCT(
  'User-Product'!$B26:$J26,
  INDEX('User-Product'!$B$2:$J$43, MATCH(AQ$1, 'User-Product'!$A$2:$A$43, 0), 0)
)</f>
        <v>0</v>
      </c>
      <c r="AR26" s="51"/>
      <c r="AS26" s="51"/>
      <c r="AT26" s="51"/>
      <c r="AU26" s="51"/>
      <c r="AV26" s="51"/>
      <c r="AW26" s="51"/>
      <c r="AX26" s="51"/>
      <c r="AY26" s="51"/>
    </row>
    <row r="27">
      <c r="A27" s="52" t="s">
        <v>87</v>
      </c>
      <c r="B27" s="51">
        <f t="array" ref="B27">SUMPRODUCT(
  'User-Product'!$B27:$J27,
  INDEX('User-Product'!$B$2:$J$43, MATCH(B$1, 'User-Product'!$A$2:$A$43, 0), 0)
)</f>
        <v>1</v>
      </c>
      <c r="C27" s="51">
        <f t="array" ref="C27">SUMPRODUCT(
  'User-Product'!$B27:$J27,
  INDEX('User-Product'!$B$2:$J$43, MATCH(C$1, 'User-Product'!$A$2:$A$43, 0), 0)
)</f>
        <v>1</v>
      </c>
      <c r="D27" s="51">
        <f t="array" ref="D27">SUMPRODUCT(
  'User-Product'!$B27:$J27,
  INDEX('User-Product'!$B$2:$J$43, MATCH(D$1, 'User-Product'!$A$2:$A$43, 0), 0)
)</f>
        <v>0</v>
      </c>
      <c r="E27" s="51">
        <f t="array" ref="E27">SUMPRODUCT(
  'User-Product'!$B27:$J27,
  INDEX('User-Product'!$B$2:$J$43, MATCH(E$1, 'User-Product'!$A$2:$A$43, 0), 0)
)</f>
        <v>0</v>
      </c>
      <c r="F27" s="51">
        <f t="array" ref="F27">SUMPRODUCT(
  'User-Product'!$B27:$J27,
  INDEX('User-Product'!$B$2:$J$43, MATCH(F$1, 'User-Product'!$A$2:$A$43, 0), 0)
)</f>
        <v>1</v>
      </c>
      <c r="G27" s="51">
        <f t="array" ref="G27">SUMPRODUCT(
  'User-Product'!$B27:$J27,
  INDEX('User-Product'!$B$2:$J$43, MATCH(G$1, 'User-Product'!$A$2:$A$43, 0), 0)
)</f>
        <v>0</v>
      </c>
      <c r="H27" s="51">
        <f t="array" ref="H27">SUMPRODUCT(
  'User-Product'!$B27:$J27,
  INDEX('User-Product'!$B$2:$J$43, MATCH(H$1, 'User-Product'!$A$2:$A$43, 0), 0)
)</f>
        <v>1</v>
      </c>
      <c r="I27" s="51">
        <f t="array" ref="I27">SUMPRODUCT(
  'User-Product'!$B27:$J27,
  INDEX('User-Product'!$B$2:$J$43, MATCH(I$1, 'User-Product'!$A$2:$A$43, 0), 0)
)</f>
        <v>1</v>
      </c>
      <c r="J27" s="51">
        <f t="array" ref="J27">SUMPRODUCT(
  'User-Product'!$B27:$J27,
  INDEX('User-Product'!$B$2:$J$43, MATCH(J$1, 'User-Product'!$A$2:$A$43, 0), 0)
)</f>
        <v>0</v>
      </c>
      <c r="K27" s="51">
        <f t="array" ref="K27">SUMPRODUCT(
  'User-Product'!$B27:$J27,
  INDEX('User-Product'!$B$2:$J$43, MATCH(K$1, 'User-Product'!$A$2:$A$43, 0), 0)
)</f>
        <v>0</v>
      </c>
      <c r="L27" s="51">
        <f t="array" ref="L27">SUMPRODUCT(
  'User-Product'!$B27:$J27,
  INDEX('User-Product'!$B$2:$J$43, MATCH(L$1, 'User-Product'!$A$2:$A$43, 0), 0)
)</f>
        <v>0</v>
      </c>
      <c r="M27" s="51">
        <f t="array" ref="M27">SUMPRODUCT(
  'User-Product'!$B27:$J27,
  INDEX('User-Product'!$B$2:$J$43, MATCH(M$1, 'User-Product'!$A$2:$A$43, 0), 0)
)</f>
        <v>1</v>
      </c>
      <c r="N27" s="51">
        <f t="array" ref="N27">SUMPRODUCT(
  'User-Product'!$B27:$J27,
  INDEX('User-Product'!$B$2:$J$43, MATCH(N$1, 'User-Product'!$A$2:$A$43, 0), 0)
)</f>
        <v>0</v>
      </c>
      <c r="O27" s="51">
        <f t="array" ref="O27">SUMPRODUCT(
  'User-Product'!$B27:$J27,
  INDEX('User-Product'!$B$2:$J$43, MATCH(O$1, 'User-Product'!$A$2:$A$43, 0), 0)
)</f>
        <v>0</v>
      </c>
      <c r="P27" s="51">
        <f t="array" ref="P27">SUMPRODUCT(
  'User-Product'!$B27:$J27,
  INDEX('User-Product'!$B$2:$J$43, MATCH(P$1, 'User-Product'!$A$2:$A$43, 0), 0)
)</f>
        <v>0</v>
      </c>
      <c r="Q27" s="51">
        <f t="array" ref="Q27">SUMPRODUCT(
  'User-Product'!$B27:$J27,
  INDEX('User-Product'!$B$2:$J$43, MATCH(Q$1, 'User-Product'!$A$2:$A$43, 0), 0)
)</f>
        <v>0</v>
      </c>
      <c r="R27" s="51">
        <f t="array" ref="R27">SUMPRODUCT(
  'User-Product'!$B27:$J27,
  INDEX('User-Product'!$B$2:$J$43, MATCH(R$1, 'User-Product'!$A$2:$A$43, 0), 0)
)</f>
        <v>0</v>
      </c>
      <c r="S27" s="51">
        <f t="array" ref="S27">SUMPRODUCT(
  'User-Product'!$B27:$J27,
  INDEX('User-Product'!$B$2:$J$43, MATCH(S$1, 'User-Product'!$A$2:$A$43, 0), 0)
)</f>
        <v>1</v>
      </c>
      <c r="T27" s="51">
        <f t="array" ref="T27">SUMPRODUCT(
  'User-Product'!$B27:$J27,
  INDEX('User-Product'!$B$2:$J$43, MATCH(T$1, 'User-Product'!$A$2:$A$43, 0), 0)
)</f>
        <v>1</v>
      </c>
      <c r="U27" s="51">
        <f t="array" ref="U27">SUMPRODUCT(
  'User-Product'!$B27:$J27,
  INDEX('User-Product'!$B$2:$J$43, MATCH(U$1, 'User-Product'!$A$2:$A$43, 0), 0)
)</f>
        <v>1</v>
      </c>
      <c r="V27" s="51">
        <f t="array" ref="V27">SUMPRODUCT(
  'User-Product'!$B27:$J27,
  INDEX('User-Product'!$B$2:$J$43, MATCH(V$1, 'User-Product'!$A$2:$A$43, 0), 0)
)</f>
        <v>0</v>
      </c>
      <c r="W27" s="51">
        <f t="array" ref="W27">SUMPRODUCT(
  'User-Product'!$B27:$J27,
  INDEX('User-Product'!$B$2:$J$43, MATCH(W$1, 'User-Product'!$A$2:$A$43, 0), 0)
)</f>
        <v>1</v>
      </c>
      <c r="X27" s="51">
        <f t="array" ref="X27">SUMPRODUCT(
  'User-Product'!$B27:$J27,
  INDEX('User-Product'!$B$2:$J$43, MATCH(X$1, 'User-Product'!$A$2:$A$43, 0), 0)
)</f>
        <v>1</v>
      </c>
      <c r="Y27" s="51">
        <f t="array" ref="Y27">SUMPRODUCT(
  'User-Product'!$B27:$J27,
  INDEX('User-Product'!$B$2:$J$43, MATCH(Y$1, 'User-Product'!$A$2:$A$43, 0), 0)
)</f>
        <v>0</v>
      </c>
      <c r="Z27" s="51">
        <f t="array" ref="Z27">SUMPRODUCT(
  'User-Product'!$B27:$J27,
  INDEX('User-Product'!$B$2:$J$43, MATCH(Z$1, 'User-Product'!$A$2:$A$43, 0), 0)
)</f>
        <v>1</v>
      </c>
      <c r="AA27" s="51">
        <f t="array" ref="AA27">SUMPRODUCT(
  'User-Product'!$B27:$J27,
  INDEX('User-Product'!$B$2:$J$43, MATCH(AA$1, 'User-Product'!$A$2:$A$43, 0), 0)
)</f>
        <v>1</v>
      </c>
      <c r="AB27" s="51">
        <f t="array" ref="AB27">SUMPRODUCT(
  'User-Product'!$B27:$J27,
  INDEX('User-Product'!$B$2:$J$43, MATCH(AB$1, 'User-Product'!$A$2:$A$43, 0), 0)
)</f>
        <v>1</v>
      </c>
      <c r="AC27" s="51">
        <f t="array" ref="AC27">SUMPRODUCT(
  'User-Product'!$B27:$J27,
  INDEX('User-Product'!$B$2:$J$43, MATCH(AC$1, 'User-Product'!$A$2:$A$43, 0), 0)
)</f>
        <v>1</v>
      </c>
      <c r="AD27" s="51">
        <f t="array" ref="AD27">SUMPRODUCT(
  'User-Product'!$B27:$J27,
  INDEX('User-Product'!$B$2:$J$43, MATCH(AD$1, 'User-Product'!$A$2:$A$43, 0), 0)
)</f>
        <v>0</v>
      </c>
      <c r="AE27" s="51">
        <f t="array" ref="AE27">SUMPRODUCT(
  'User-Product'!$B27:$J27,
  INDEX('User-Product'!$B$2:$J$43, MATCH(AE$1, 'User-Product'!$A$2:$A$43, 0), 0)
)</f>
        <v>1</v>
      </c>
      <c r="AF27" s="51">
        <f t="array" ref="AF27">SUMPRODUCT(
  'User-Product'!$B27:$J27,
  INDEX('User-Product'!$B$2:$J$43, MATCH(AF$1, 'User-Product'!$A$2:$A$43, 0), 0)
)</f>
        <v>1</v>
      </c>
      <c r="AG27" s="51">
        <f t="array" ref="AG27">SUMPRODUCT(
  'User-Product'!$B27:$J27,
  INDEX('User-Product'!$B$2:$J$43, MATCH(AG$1, 'User-Product'!$A$2:$A$43, 0), 0)
)</f>
        <v>0</v>
      </c>
      <c r="AH27" s="51">
        <f t="array" ref="AH27">SUMPRODUCT(
  'User-Product'!$B27:$J27,
  INDEX('User-Product'!$B$2:$J$43, MATCH(AH$1, 'User-Product'!$A$2:$A$43, 0), 0)
)</f>
        <v>0</v>
      </c>
      <c r="AI27" s="51">
        <f t="array" ref="AI27">SUMPRODUCT(
  'User-Product'!$B27:$J27,
  INDEX('User-Product'!$B$2:$J$43, MATCH(AI$1, 'User-Product'!$A$2:$A$43, 0), 0)
)</f>
        <v>0</v>
      </c>
      <c r="AJ27" s="51">
        <f t="array" ref="AJ27">SUMPRODUCT(
  'User-Product'!$B27:$J27,
  INDEX('User-Product'!$B$2:$J$43, MATCH(AJ$1, 'User-Product'!$A$2:$A$43, 0), 0)
)</f>
        <v>0</v>
      </c>
      <c r="AK27" s="51">
        <f t="array" ref="AK27">SUMPRODUCT(
  'User-Product'!$B27:$J27,
  INDEX('User-Product'!$B$2:$J$43, MATCH(AK$1, 'User-Product'!$A$2:$A$43, 0), 0)
)</f>
        <v>1</v>
      </c>
      <c r="AL27" s="51">
        <f t="array" ref="AL27">SUMPRODUCT(
  'User-Product'!$B27:$J27,
  INDEX('User-Product'!$B$2:$J$43, MATCH(AL$1, 'User-Product'!$A$2:$A$43, 0), 0)
)</f>
        <v>1</v>
      </c>
      <c r="AM27" s="51">
        <f t="array" ref="AM27">SUMPRODUCT(
  'User-Product'!$B27:$J27,
  INDEX('User-Product'!$B$2:$J$43, MATCH(AM$1, 'User-Product'!$A$2:$A$43, 0), 0)
)</f>
        <v>1</v>
      </c>
      <c r="AN27" s="51">
        <f t="array" ref="AN27">SUMPRODUCT(
  'User-Product'!$B27:$J27,
  INDEX('User-Product'!$B$2:$J$43, MATCH(AN$1, 'User-Product'!$A$2:$A$43, 0), 0)
)</f>
        <v>1</v>
      </c>
      <c r="AO27" s="51">
        <f t="array" ref="AO27">SUMPRODUCT(
  'User-Product'!$B27:$J27,
  INDEX('User-Product'!$B$2:$J$43, MATCH(AO$1, 'User-Product'!$A$2:$A$43, 0), 0)
)</f>
        <v>0</v>
      </c>
      <c r="AP27" s="51">
        <f t="array" ref="AP27">SUMPRODUCT(
  'User-Product'!$B27:$J27,
  INDEX('User-Product'!$B$2:$J$43, MATCH(AP$1, 'User-Product'!$A$2:$A$43, 0), 0)
)</f>
        <v>1</v>
      </c>
      <c r="AQ27" s="51">
        <f t="array" ref="AQ27">SUMPRODUCT(
  'User-Product'!$B27:$J27,
  INDEX('User-Product'!$B$2:$J$43, MATCH(AQ$1, 'User-Product'!$A$2:$A$43, 0), 0)
)</f>
        <v>0</v>
      </c>
      <c r="AR27" s="51"/>
      <c r="AS27" s="51"/>
      <c r="AT27" s="51"/>
      <c r="AU27" s="51"/>
      <c r="AV27" s="51"/>
      <c r="AW27" s="51"/>
      <c r="AX27" s="51"/>
      <c r="AY27" s="51"/>
    </row>
    <row r="28">
      <c r="A28" s="52" t="s">
        <v>88</v>
      </c>
      <c r="B28" s="51">
        <f t="array" ref="B28">SUMPRODUCT(
  'User-Product'!$B28:$J28,
  INDEX('User-Product'!$B$2:$J$43, MATCH(B$1, 'User-Product'!$A$2:$A$43, 0), 0)
)</f>
        <v>3</v>
      </c>
      <c r="C28" s="51">
        <f t="array" ref="C28">SUMPRODUCT(
  'User-Product'!$B28:$J28,
  INDEX('User-Product'!$B$2:$J$43, MATCH(C$1, 'User-Product'!$A$2:$A$43, 0), 0)
)</f>
        <v>3</v>
      </c>
      <c r="D28" s="51">
        <f t="array" ref="D28">SUMPRODUCT(
  'User-Product'!$B28:$J28,
  INDEX('User-Product'!$B$2:$J$43, MATCH(D$1, 'User-Product'!$A$2:$A$43, 0), 0)
)</f>
        <v>1</v>
      </c>
      <c r="E28" s="51">
        <f t="array" ref="E28">SUMPRODUCT(
  'User-Product'!$B28:$J28,
  INDEX('User-Product'!$B$2:$J$43, MATCH(E$1, 'User-Product'!$A$2:$A$43, 0), 0)
)</f>
        <v>0</v>
      </c>
      <c r="F28" s="51">
        <f t="array" ref="F28">SUMPRODUCT(
  'User-Product'!$B28:$J28,
  INDEX('User-Product'!$B$2:$J$43, MATCH(F$1, 'User-Product'!$A$2:$A$43, 0), 0)
)</f>
        <v>7</v>
      </c>
      <c r="G28" s="51">
        <f t="array" ref="G28">SUMPRODUCT(
  'User-Product'!$B28:$J28,
  INDEX('User-Product'!$B$2:$J$43, MATCH(G$1, 'User-Product'!$A$2:$A$43, 0), 0)
)</f>
        <v>2</v>
      </c>
      <c r="H28" s="51">
        <f t="array" ref="H28">SUMPRODUCT(
  'User-Product'!$B28:$J28,
  INDEX('User-Product'!$B$2:$J$43, MATCH(H$1, 'User-Product'!$A$2:$A$43, 0), 0)
)</f>
        <v>5</v>
      </c>
      <c r="I28" s="51">
        <f t="array" ref="I28">SUMPRODUCT(
  'User-Product'!$B28:$J28,
  INDEX('User-Product'!$B$2:$J$43, MATCH(I$1, 'User-Product'!$A$2:$A$43, 0), 0)
)</f>
        <v>2</v>
      </c>
      <c r="J28" s="51">
        <f t="array" ref="J28">SUMPRODUCT(
  'User-Product'!$B28:$J28,
  INDEX('User-Product'!$B$2:$J$43, MATCH(J$1, 'User-Product'!$A$2:$A$43, 0), 0)
)</f>
        <v>4</v>
      </c>
      <c r="K28" s="51">
        <f t="array" ref="K28">SUMPRODUCT(
  'User-Product'!$B28:$J28,
  INDEX('User-Product'!$B$2:$J$43, MATCH(K$1, 'User-Product'!$A$2:$A$43, 0), 0)
)</f>
        <v>3</v>
      </c>
      <c r="L28" s="51">
        <f t="array" ref="L28">SUMPRODUCT(
  'User-Product'!$B28:$J28,
  INDEX('User-Product'!$B$2:$J$43, MATCH(L$1, 'User-Product'!$A$2:$A$43, 0), 0)
)</f>
        <v>1</v>
      </c>
      <c r="M28" s="51">
        <f t="array" ref="M28">SUMPRODUCT(
  'User-Product'!$B28:$J28,
  INDEX('User-Product'!$B$2:$J$43, MATCH(M$1, 'User-Product'!$A$2:$A$43, 0), 0)
)</f>
        <v>1</v>
      </c>
      <c r="N28" s="51">
        <f t="array" ref="N28">SUMPRODUCT(
  'User-Product'!$B28:$J28,
  INDEX('User-Product'!$B$2:$J$43, MATCH(N$1, 'User-Product'!$A$2:$A$43, 0), 0)
)</f>
        <v>1</v>
      </c>
      <c r="O28" s="51">
        <f t="array" ref="O28">SUMPRODUCT(
  'User-Product'!$B28:$J28,
  INDEX('User-Product'!$B$2:$J$43, MATCH(O$1, 'User-Product'!$A$2:$A$43, 0), 0)
)</f>
        <v>2</v>
      </c>
      <c r="P28" s="51">
        <f t="array" ref="P28">SUMPRODUCT(
  'User-Product'!$B28:$J28,
  INDEX('User-Product'!$B$2:$J$43, MATCH(P$1, 'User-Product'!$A$2:$A$43, 0), 0)
)</f>
        <v>1</v>
      </c>
      <c r="Q28" s="51">
        <f t="array" ref="Q28">SUMPRODUCT(
  'User-Product'!$B28:$J28,
  INDEX('User-Product'!$B$2:$J$43, MATCH(Q$1, 'User-Product'!$A$2:$A$43, 0), 0)
)</f>
        <v>0</v>
      </c>
      <c r="R28" s="51">
        <f t="array" ref="R28">SUMPRODUCT(
  'User-Product'!$B28:$J28,
  INDEX('User-Product'!$B$2:$J$43, MATCH(R$1, 'User-Product'!$A$2:$A$43, 0), 0)
)</f>
        <v>1</v>
      </c>
      <c r="S28" s="51">
        <f t="array" ref="S28">SUMPRODUCT(
  'User-Product'!$B28:$J28,
  INDEX('User-Product'!$B$2:$J$43, MATCH(S$1, 'User-Product'!$A$2:$A$43, 0), 0)
)</f>
        <v>2</v>
      </c>
      <c r="T28" s="51">
        <f t="array" ref="T28">SUMPRODUCT(
  'User-Product'!$B28:$J28,
  INDEX('User-Product'!$B$2:$J$43, MATCH(T$1, 'User-Product'!$A$2:$A$43, 0), 0)
)</f>
        <v>5</v>
      </c>
      <c r="U28" s="51">
        <f t="array" ref="U28">SUMPRODUCT(
  'User-Product'!$B28:$J28,
  INDEX('User-Product'!$B$2:$J$43, MATCH(U$1, 'User-Product'!$A$2:$A$43, 0), 0)
)</f>
        <v>3</v>
      </c>
      <c r="V28" s="51">
        <f t="array" ref="V28">SUMPRODUCT(
  'User-Product'!$B28:$J28,
  INDEX('User-Product'!$B$2:$J$43, MATCH(V$1, 'User-Product'!$A$2:$A$43, 0), 0)
)</f>
        <v>1</v>
      </c>
      <c r="W28" s="51">
        <f t="array" ref="W28">SUMPRODUCT(
  'User-Product'!$B28:$J28,
  INDEX('User-Product'!$B$2:$J$43, MATCH(W$1, 'User-Product'!$A$2:$A$43, 0), 0)
)</f>
        <v>1</v>
      </c>
      <c r="X28" s="51">
        <f t="array" ref="X28">SUMPRODUCT(
  'User-Product'!$B28:$J28,
  INDEX('User-Product'!$B$2:$J$43, MATCH(X$1, 'User-Product'!$A$2:$A$43, 0), 0)
)</f>
        <v>1</v>
      </c>
      <c r="Y28" s="51">
        <f t="array" ref="Y28">SUMPRODUCT(
  'User-Product'!$B28:$J28,
  INDEX('User-Product'!$B$2:$J$43, MATCH(Y$1, 'User-Product'!$A$2:$A$43, 0), 0)
)</f>
        <v>3</v>
      </c>
      <c r="Z28" s="51">
        <f t="array" ref="Z28">SUMPRODUCT(
  'User-Product'!$B28:$J28,
  INDEX('User-Product'!$B$2:$J$43, MATCH(Z$1, 'User-Product'!$A$2:$A$43, 0), 0)
)</f>
        <v>1</v>
      </c>
      <c r="AA28" s="51">
        <f t="array" ref="AA28">SUMPRODUCT(
  'User-Product'!$B28:$J28,
  INDEX('User-Product'!$B$2:$J$43, MATCH(AA$1, 'User-Product'!$A$2:$A$43, 0), 0)
)</f>
        <v>1</v>
      </c>
      <c r="AB28" s="51">
        <f t="array" ref="AB28">SUMPRODUCT(
  'User-Product'!$B28:$J28,
  INDEX('User-Product'!$B$2:$J$43, MATCH(AB$1, 'User-Product'!$A$2:$A$43, 0), 0)
)</f>
        <v>7</v>
      </c>
      <c r="AC28" s="51">
        <f t="array" ref="AC28">SUMPRODUCT(
  'User-Product'!$B28:$J28,
  INDEX('User-Product'!$B$2:$J$43, MATCH(AC$1, 'User-Product'!$A$2:$A$43, 0), 0)
)</f>
        <v>3</v>
      </c>
      <c r="AD28" s="51">
        <f t="array" ref="AD28">SUMPRODUCT(
  'User-Product'!$B28:$J28,
  INDEX('User-Product'!$B$2:$J$43, MATCH(AD$1, 'User-Product'!$A$2:$A$43, 0), 0)
)</f>
        <v>2</v>
      </c>
      <c r="AE28" s="51">
        <f t="array" ref="AE28">SUMPRODUCT(
  'User-Product'!$B28:$J28,
  INDEX('User-Product'!$B$2:$J$43, MATCH(AE$1, 'User-Product'!$A$2:$A$43, 0), 0)
)</f>
        <v>3</v>
      </c>
      <c r="AF28" s="51">
        <f t="array" ref="AF28">SUMPRODUCT(
  'User-Product'!$B28:$J28,
  INDEX('User-Product'!$B$2:$J$43, MATCH(AF$1, 'User-Product'!$A$2:$A$43, 0), 0)
)</f>
        <v>7</v>
      </c>
      <c r="AG28" s="51">
        <f t="array" ref="AG28">SUMPRODUCT(
  'User-Product'!$B28:$J28,
  INDEX('User-Product'!$B$2:$J$43, MATCH(AG$1, 'User-Product'!$A$2:$A$43, 0), 0)
)</f>
        <v>0</v>
      </c>
      <c r="AH28" s="51">
        <f t="array" ref="AH28">SUMPRODUCT(
  'User-Product'!$B28:$J28,
  INDEX('User-Product'!$B$2:$J$43, MATCH(AH$1, 'User-Product'!$A$2:$A$43, 0), 0)
)</f>
        <v>2</v>
      </c>
      <c r="AI28" s="51">
        <f t="array" ref="AI28">SUMPRODUCT(
  'User-Product'!$B28:$J28,
  INDEX('User-Product'!$B$2:$J$43, MATCH(AI$1, 'User-Product'!$A$2:$A$43, 0), 0)
)</f>
        <v>2</v>
      </c>
      <c r="AJ28" s="51">
        <f t="array" ref="AJ28">SUMPRODUCT(
  'User-Product'!$B28:$J28,
  INDEX('User-Product'!$B$2:$J$43, MATCH(AJ$1, 'User-Product'!$A$2:$A$43, 0), 0)
)</f>
        <v>0</v>
      </c>
      <c r="AK28" s="51">
        <f t="array" ref="AK28">SUMPRODUCT(
  'User-Product'!$B28:$J28,
  INDEX('User-Product'!$B$2:$J$43, MATCH(AK$1, 'User-Product'!$A$2:$A$43, 0), 0)
)</f>
        <v>1</v>
      </c>
      <c r="AL28" s="51">
        <f t="array" ref="AL28">SUMPRODUCT(
  'User-Product'!$B28:$J28,
  INDEX('User-Product'!$B$2:$J$43, MATCH(AL$1, 'User-Product'!$A$2:$A$43, 0), 0)
)</f>
        <v>5</v>
      </c>
      <c r="AM28" s="51">
        <f t="array" ref="AM28">SUMPRODUCT(
  'User-Product'!$B28:$J28,
  INDEX('User-Product'!$B$2:$J$43, MATCH(AM$1, 'User-Product'!$A$2:$A$43, 0), 0)
)</f>
        <v>1</v>
      </c>
      <c r="AN28" s="51">
        <f t="array" ref="AN28">SUMPRODUCT(
  'User-Product'!$B28:$J28,
  INDEX('User-Product'!$B$2:$J$43, MATCH(AN$1, 'User-Product'!$A$2:$A$43, 0), 0)
)</f>
        <v>5</v>
      </c>
      <c r="AO28" s="51">
        <f t="array" ref="AO28">SUMPRODUCT(
  'User-Product'!$B28:$J28,
  INDEX('User-Product'!$B$2:$J$43, MATCH(AO$1, 'User-Product'!$A$2:$A$43, 0), 0)
)</f>
        <v>0</v>
      </c>
      <c r="AP28" s="51">
        <f t="array" ref="AP28">SUMPRODUCT(
  'User-Product'!$B28:$J28,
  INDEX('User-Product'!$B$2:$J$43, MATCH(AP$1, 'User-Product'!$A$2:$A$43, 0), 0)
)</f>
        <v>3</v>
      </c>
      <c r="AQ28" s="51">
        <f t="array" ref="AQ28">SUMPRODUCT(
  'User-Product'!$B28:$J28,
  INDEX('User-Product'!$B$2:$J$43, MATCH(AQ$1, 'User-Product'!$A$2:$A$43, 0), 0)
)</f>
        <v>4</v>
      </c>
      <c r="AR28" s="51"/>
      <c r="AS28" s="51"/>
      <c r="AT28" s="51"/>
      <c r="AU28" s="51"/>
      <c r="AV28" s="51"/>
      <c r="AW28" s="51"/>
      <c r="AX28" s="51"/>
      <c r="AY28" s="51"/>
    </row>
    <row r="29">
      <c r="A29" s="52" t="s">
        <v>89</v>
      </c>
      <c r="B29" s="51">
        <f t="array" ref="B29">SUMPRODUCT(
  'User-Product'!$B29:$J29,
  INDEX('User-Product'!$B$2:$J$43, MATCH(B$1, 'User-Product'!$A$2:$A$43, 0), 0)
)</f>
        <v>2</v>
      </c>
      <c r="C29" s="51">
        <f t="array" ref="C29">SUMPRODUCT(
  'User-Product'!$B29:$J29,
  INDEX('User-Product'!$B$2:$J$43, MATCH(C$1, 'User-Product'!$A$2:$A$43, 0), 0)
)</f>
        <v>1</v>
      </c>
      <c r="D29" s="51">
        <f t="array" ref="D29">SUMPRODUCT(
  'User-Product'!$B29:$J29,
  INDEX('User-Product'!$B$2:$J$43, MATCH(D$1, 'User-Product'!$A$2:$A$43, 0), 0)
)</f>
        <v>2</v>
      </c>
      <c r="E29" s="51">
        <f t="array" ref="E29">SUMPRODUCT(
  'User-Product'!$B29:$J29,
  INDEX('User-Product'!$B$2:$J$43, MATCH(E$1, 'User-Product'!$A$2:$A$43, 0), 0)
)</f>
        <v>0</v>
      </c>
      <c r="F29" s="51">
        <f t="array" ref="F29">SUMPRODUCT(
  'User-Product'!$B29:$J29,
  INDEX('User-Product'!$B$2:$J$43, MATCH(F$1, 'User-Product'!$A$2:$A$43, 0), 0)
)</f>
        <v>4</v>
      </c>
      <c r="G29" s="51">
        <f t="array" ref="G29">SUMPRODUCT(
  'User-Product'!$B29:$J29,
  INDEX('User-Product'!$B$2:$J$43, MATCH(G$1, 'User-Product'!$A$2:$A$43, 0), 0)
)</f>
        <v>1</v>
      </c>
      <c r="H29" s="51">
        <f t="array" ref="H29">SUMPRODUCT(
  'User-Product'!$B29:$J29,
  INDEX('User-Product'!$B$2:$J$43, MATCH(H$1, 'User-Product'!$A$2:$A$43, 0), 0)
)</f>
        <v>3</v>
      </c>
      <c r="I29" s="51">
        <f t="array" ref="I29">SUMPRODUCT(
  'User-Product'!$B29:$J29,
  INDEX('User-Product'!$B$2:$J$43, MATCH(I$1, 'User-Product'!$A$2:$A$43, 0), 0)
)</f>
        <v>2</v>
      </c>
      <c r="J29" s="51">
        <f t="array" ref="J29">SUMPRODUCT(
  'User-Product'!$B29:$J29,
  INDEX('User-Product'!$B$2:$J$43, MATCH(J$1, 'User-Product'!$A$2:$A$43, 0), 0)
)</f>
        <v>2</v>
      </c>
      <c r="K29" s="51">
        <f t="array" ref="K29">SUMPRODUCT(
  'User-Product'!$B29:$J29,
  INDEX('User-Product'!$B$2:$J$43, MATCH(K$1, 'User-Product'!$A$2:$A$43, 0), 0)
)</f>
        <v>1</v>
      </c>
      <c r="L29" s="51">
        <f t="array" ref="L29">SUMPRODUCT(
  'User-Product'!$B29:$J29,
  INDEX('User-Product'!$B$2:$J$43, MATCH(L$1, 'User-Product'!$A$2:$A$43, 0), 0)
)</f>
        <v>1</v>
      </c>
      <c r="M29" s="51">
        <f t="array" ref="M29">SUMPRODUCT(
  'User-Product'!$B29:$J29,
  INDEX('User-Product'!$B$2:$J$43, MATCH(M$1, 'User-Product'!$A$2:$A$43, 0), 0)
)</f>
        <v>1</v>
      </c>
      <c r="N29" s="51">
        <f t="array" ref="N29">SUMPRODUCT(
  'User-Product'!$B29:$J29,
  INDEX('User-Product'!$B$2:$J$43, MATCH(N$1, 'User-Product'!$A$2:$A$43, 0), 0)
)</f>
        <v>1</v>
      </c>
      <c r="O29" s="51">
        <f t="array" ref="O29">SUMPRODUCT(
  'User-Product'!$B29:$J29,
  INDEX('User-Product'!$B$2:$J$43, MATCH(O$1, 'User-Product'!$A$2:$A$43, 0), 0)
)</f>
        <v>0</v>
      </c>
      <c r="P29" s="51">
        <f t="array" ref="P29">SUMPRODUCT(
  'User-Product'!$B29:$J29,
  INDEX('User-Product'!$B$2:$J$43, MATCH(P$1, 'User-Product'!$A$2:$A$43, 0), 0)
)</f>
        <v>1</v>
      </c>
      <c r="Q29" s="51">
        <f t="array" ref="Q29">SUMPRODUCT(
  'User-Product'!$B29:$J29,
  INDEX('User-Product'!$B$2:$J$43, MATCH(Q$1, 'User-Product'!$A$2:$A$43, 0), 0)
)</f>
        <v>1</v>
      </c>
      <c r="R29" s="51">
        <f t="array" ref="R29">SUMPRODUCT(
  'User-Product'!$B29:$J29,
  INDEX('User-Product'!$B$2:$J$43, MATCH(R$1, 'User-Product'!$A$2:$A$43, 0), 0)
)</f>
        <v>2</v>
      </c>
      <c r="S29" s="51">
        <f t="array" ref="S29">SUMPRODUCT(
  'User-Product'!$B29:$J29,
  INDEX('User-Product'!$B$2:$J$43, MATCH(S$1, 'User-Product'!$A$2:$A$43, 0), 0)
)</f>
        <v>1</v>
      </c>
      <c r="T29" s="51">
        <f t="array" ref="T29">SUMPRODUCT(
  'User-Product'!$B29:$J29,
  INDEX('User-Product'!$B$2:$J$43, MATCH(T$1, 'User-Product'!$A$2:$A$43, 0), 0)
)</f>
        <v>2</v>
      </c>
      <c r="U29" s="51">
        <f t="array" ref="U29">SUMPRODUCT(
  'User-Product'!$B29:$J29,
  INDEX('User-Product'!$B$2:$J$43, MATCH(U$1, 'User-Product'!$A$2:$A$43, 0), 0)
)</f>
        <v>1</v>
      </c>
      <c r="V29" s="51">
        <f t="array" ref="V29">SUMPRODUCT(
  'User-Product'!$B29:$J29,
  INDEX('User-Product'!$B$2:$J$43, MATCH(V$1, 'User-Product'!$A$2:$A$43, 0), 0)
)</f>
        <v>1</v>
      </c>
      <c r="W29" s="51">
        <f t="array" ref="W29">SUMPRODUCT(
  'User-Product'!$B29:$J29,
  INDEX('User-Product'!$B$2:$J$43, MATCH(W$1, 'User-Product'!$A$2:$A$43, 0), 0)
)</f>
        <v>1</v>
      </c>
      <c r="X29" s="51">
        <f t="array" ref="X29">SUMPRODUCT(
  'User-Product'!$B29:$J29,
  INDEX('User-Product'!$B$2:$J$43, MATCH(X$1, 'User-Product'!$A$2:$A$43, 0), 0)
)</f>
        <v>1</v>
      </c>
      <c r="Y29" s="51">
        <f t="array" ref="Y29">SUMPRODUCT(
  'User-Product'!$B29:$J29,
  INDEX('User-Product'!$B$2:$J$43, MATCH(Y$1, 'User-Product'!$A$2:$A$43, 0), 0)
)</f>
        <v>1</v>
      </c>
      <c r="Z29" s="51">
        <f t="array" ref="Z29">SUMPRODUCT(
  'User-Product'!$B29:$J29,
  INDEX('User-Product'!$B$2:$J$43, MATCH(Z$1, 'User-Product'!$A$2:$A$43, 0), 0)
)</f>
        <v>1</v>
      </c>
      <c r="AA29" s="51">
        <f t="array" ref="AA29">SUMPRODUCT(
  'User-Product'!$B29:$J29,
  INDEX('User-Product'!$B$2:$J$43, MATCH(AA$1, 'User-Product'!$A$2:$A$43, 0), 0)
)</f>
        <v>1</v>
      </c>
      <c r="AB29" s="51">
        <f t="array" ref="AB29">SUMPRODUCT(
  'User-Product'!$B29:$J29,
  INDEX('User-Product'!$B$2:$J$43, MATCH(AB$1, 'User-Product'!$A$2:$A$43, 0), 0)
)</f>
        <v>3</v>
      </c>
      <c r="AC29" s="51">
        <f t="array" ref="AC29">SUMPRODUCT(
  'User-Product'!$B29:$J29,
  INDEX('User-Product'!$B$2:$J$43, MATCH(AC$1, 'User-Product'!$A$2:$A$43, 0), 0)
)</f>
        <v>4</v>
      </c>
      <c r="AD29" s="51">
        <f t="array" ref="AD29">SUMPRODUCT(
  'User-Product'!$B29:$J29,
  INDEX('User-Product'!$B$2:$J$43, MATCH(AD$1, 'User-Product'!$A$2:$A$43, 0), 0)
)</f>
        <v>2</v>
      </c>
      <c r="AE29" s="51">
        <f t="array" ref="AE29">SUMPRODUCT(
  'User-Product'!$B29:$J29,
  INDEX('User-Product'!$B$2:$J$43, MATCH(AE$1, 'User-Product'!$A$2:$A$43, 0), 0)
)</f>
        <v>2</v>
      </c>
      <c r="AF29" s="51">
        <f t="array" ref="AF29">SUMPRODUCT(
  'User-Product'!$B29:$J29,
  INDEX('User-Product'!$B$2:$J$43, MATCH(AF$1, 'User-Product'!$A$2:$A$43, 0), 0)
)</f>
        <v>4</v>
      </c>
      <c r="AG29" s="51">
        <f t="array" ref="AG29">SUMPRODUCT(
  'User-Product'!$B29:$J29,
  INDEX('User-Product'!$B$2:$J$43, MATCH(AG$1, 'User-Product'!$A$2:$A$43, 0), 0)
)</f>
        <v>1</v>
      </c>
      <c r="AH29" s="51">
        <f t="array" ref="AH29">SUMPRODUCT(
  'User-Product'!$B29:$J29,
  INDEX('User-Product'!$B$2:$J$43, MATCH(AH$1, 'User-Product'!$A$2:$A$43, 0), 0)
)</f>
        <v>0</v>
      </c>
      <c r="AI29" s="51">
        <f t="array" ref="AI29">SUMPRODUCT(
  'User-Product'!$B29:$J29,
  INDEX('User-Product'!$B$2:$J$43, MATCH(AI$1, 'User-Product'!$A$2:$A$43, 0), 0)
)</f>
        <v>0</v>
      </c>
      <c r="AJ29" s="51">
        <f t="array" ref="AJ29">SUMPRODUCT(
  'User-Product'!$B29:$J29,
  INDEX('User-Product'!$B$2:$J$43, MATCH(AJ$1, 'User-Product'!$A$2:$A$43, 0), 0)
)</f>
        <v>0</v>
      </c>
      <c r="AK29" s="51">
        <f t="array" ref="AK29">SUMPRODUCT(
  'User-Product'!$B29:$J29,
  INDEX('User-Product'!$B$2:$J$43, MATCH(AK$1, 'User-Product'!$A$2:$A$43, 0), 0)
)</f>
        <v>1</v>
      </c>
      <c r="AL29" s="51">
        <f t="array" ref="AL29">SUMPRODUCT(
  'User-Product'!$B29:$J29,
  INDEX('User-Product'!$B$2:$J$43, MATCH(AL$1, 'User-Product'!$A$2:$A$43, 0), 0)
)</f>
        <v>3</v>
      </c>
      <c r="AM29" s="51">
        <f t="array" ref="AM29">SUMPRODUCT(
  'User-Product'!$B29:$J29,
  INDEX('User-Product'!$B$2:$J$43, MATCH(AM$1, 'User-Product'!$A$2:$A$43, 0), 0)
)</f>
        <v>1</v>
      </c>
      <c r="AN29" s="51">
        <f t="array" ref="AN29">SUMPRODUCT(
  'User-Product'!$B29:$J29,
  INDEX('User-Product'!$B$2:$J$43, MATCH(AN$1, 'User-Product'!$A$2:$A$43, 0), 0)
)</f>
        <v>3</v>
      </c>
      <c r="AO29" s="51">
        <f t="array" ref="AO29">SUMPRODUCT(
  'User-Product'!$B29:$J29,
  INDEX('User-Product'!$B$2:$J$43, MATCH(AO$1, 'User-Product'!$A$2:$A$43, 0), 0)
)</f>
        <v>0</v>
      </c>
      <c r="AP29" s="51">
        <f t="array" ref="AP29">SUMPRODUCT(
  'User-Product'!$B29:$J29,
  INDEX('User-Product'!$B$2:$J$43, MATCH(AP$1, 'User-Product'!$A$2:$A$43, 0), 0)
)</f>
        <v>3</v>
      </c>
      <c r="AQ29" s="51">
        <f t="array" ref="AQ29">SUMPRODUCT(
  'User-Product'!$B29:$J29,
  INDEX('User-Product'!$B$2:$J$43, MATCH(AQ$1, 'User-Product'!$A$2:$A$43, 0), 0)
)</f>
        <v>2</v>
      </c>
      <c r="AR29" s="51"/>
      <c r="AS29" s="51"/>
      <c r="AT29" s="51"/>
      <c r="AU29" s="51"/>
      <c r="AV29" s="51"/>
      <c r="AW29" s="51"/>
      <c r="AX29" s="51"/>
      <c r="AY29" s="51"/>
    </row>
    <row r="30">
      <c r="A30" s="52" t="s">
        <v>90</v>
      </c>
      <c r="B30" s="51">
        <f t="array" ref="B30">SUMPRODUCT(
  'User-Product'!$B30:$J30,
  INDEX('User-Product'!$B$2:$J$43, MATCH(B$1, 'User-Product'!$A$2:$A$43, 0), 0)
)</f>
        <v>1</v>
      </c>
      <c r="C30" s="51">
        <f t="array" ref="C30">SUMPRODUCT(
  'User-Product'!$B30:$J30,
  INDEX('User-Product'!$B$2:$J$43, MATCH(C$1, 'User-Product'!$A$2:$A$43, 0), 0)
)</f>
        <v>1</v>
      </c>
      <c r="D30" s="51">
        <f t="array" ref="D30">SUMPRODUCT(
  'User-Product'!$B30:$J30,
  INDEX('User-Product'!$B$2:$J$43, MATCH(D$1, 'User-Product'!$A$2:$A$43, 0), 0)
)</f>
        <v>2</v>
      </c>
      <c r="E30" s="51">
        <f t="array" ref="E30">SUMPRODUCT(
  'User-Product'!$B30:$J30,
  INDEX('User-Product'!$B$2:$J$43, MATCH(E$1, 'User-Product'!$A$2:$A$43, 0), 0)
)</f>
        <v>1</v>
      </c>
      <c r="F30" s="51">
        <f t="array" ref="F30">SUMPRODUCT(
  'User-Product'!$B30:$J30,
  INDEX('User-Product'!$B$2:$J$43, MATCH(F$1, 'User-Product'!$A$2:$A$43, 0), 0)
)</f>
        <v>4</v>
      </c>
      <c r="G30" s="51">
        <f t="array" ref="G30">SUMPRODUCT(
  'User-Product'!$B30:$J30,
  INDEX('User-Product'!$B$2:$J$43, MATCH(G$1, 'User-Product'!$A$2:$A$43, 0), 0)
)</f>
        <v>2</v>
      </c>
      <c r="H30" s="51">
        <f t="array" ref="H30">SUMPRODUCT(
  'User-Product'!$B30:$J30,
  INDEX('User-Product'!$B$2:$J$43, MATCH(H$1, 'User-Product'!$A$2:$A$43, 0), 0)
)</f>
        <v>3</v>
      </c>
      <c r="I30" s="51">
        <f t="array" ref="I30">SUMPRODUCT(
  'User-Product'!$B30:$J30,
  INDEX('User-Product'!$B$2:$J$43, MATCH(I$1, 'User-Product'!$A$2:$A$43, 0), 0)
)</f>
        <v>2</v>
      </c>
      <c r="J30" s="51">
        <f t="array" ref="J30">SUMPRODUCT(
  'User-Product'!$B30:$J30,
  INDEX('User-Product'!$B$2:$J$43, MATCH(J$1, 'User-Product'!$A$2:$A$43, 0), 0)
)</f>
        <v>4</v>
      </c>
      <c r="K30" s="51">
        <f t="array" ref="K30">SUMPRODUCT(
  'User-Product'!$B30:$J30,
  INDEX('User-Product'!$B$2:$J$43, MATCH(K$1, 'User-Product'!$A$2:$A$43, 0), 0)
)</f>
        <v>2</v>
      </c>
      <c r="L30" s="51">
        <f t="array" ref="L30">SUMPRODUCT(
  'User-Product'!$B30:$J30,
  INDEX('User-Product'!$B$2:$J$43, MATCH(L$1, 'User-Product'!$A$2:$A$43, 0), 0)
)</f>
        <v>1</v>
      </c>
      <c r="M30" s="51">
        <f t="array" ref="M30">SUMPRODUCT(
  'User-Product'!$B30:$J30,
  INDEX('User-Product'!$B$2:$J$43, MATCH(M$1, 'User-Product'!$A$2:$A$43, 0), 0)
)</f>
        <v>0</v>
      </c>
      <c r="N30" s="51">
        <f t="array" ref="N30">SUMPRODUCT(
  'User-Product'!$B30:$J30,
  INDEX('User-Product'!$B$2:$J$43, MATCH(N$1, 'User-Product'!$A$2:$A$43, 0), 0)
)</f>
        <v>1</v>
      </c>
      <c r="O30" s="51">
        <f t="array" ref="O30">SUMPRODUCT(
  'User-Product'!$B30:$J30,
  INDEX('User-Product'!$B$2:$J$43, MATCH(O$1, 'User-Product'!$A$2:$A$43, 0), 0)
)</f>
        <v>1</v>
      </c>
      <c r="P30" s="51">
        <f t="array" ref="P30">SUMPRODUCT(
  'User-Product'!$B30:$J30,
  INDEX('User-Product'!$B$2:$J$43, MATCH(P$1, 'User-Product'!$A$2:$A$43, 0), 0)
)</f>
        <v>2</v>
      </c>
      <c r="Q30" s="51">
        <f t="array" ref="Q30">SUMPRODUCT(
  'User-Product'!$B30:$J30,
  INDEX('User-Product'!$B$2:$J$43, MATCH(Q$1, 'User-Product'!$A$2:$A$43, 0), 0)
)</f>
        <v>1</v>
      </c>
      <c r="R30" s="51">
        <f t="array" ref="R30">SUMPRODUCT(
  'User-Product'!$B30:$J30,
  INDEX('User-Product'!$B$2:$J$43, MATCH(R$1, 'User-Product'!$A$2:$A$43, 0), 0)
)</f>
        <v>2</v>
      </c>
      <c r="S30" s="51">
        <f t="array" ref="S30">SUMPRODUCT(
  'User-Product'!$B30:$J30,
  INDEX('User-Product'!$B$2:$J$43, MATCH(S$1, 'User-Product'!$A$2:$A$43, 0), 0)
)</f>
        <v>1</v>
      </c>
      <c r="T30" s="51">
        <f t="array" ref="T30">SUMPRODUCT(
  'User-Product'!$B30:$J30,
  INDEX('User-Product'!$B$2:$J$43, MATCH(T$1, 'User-Product'!$A$2:$A$43, 0), 0)
)</f>
        <v>1</v>
      </c>
      <c r="U30" s="51">
        <f t="array" ref="U30">SUMPRODUCT(
  'User-Product'!$B30:$J30,
  INDEX('User-Product'!$B$2:$J$43, MATCH(U$1, 'User-Product'!$A$2:$A$43, 0), 0)
)</f>
        <v>2</v>
      </c>
      <c r="V30" s="51">
        <f t="array" ref="V30">SUMPRODUCT(
  'User-Product'!$B30:$J30,
  INDEX('User-Product'!$B$2:$J$43, MATCH(V$1, 'User-Product'!$A$2:$A$43, 0), 0)
)</f>
        <v>0</v>
      </c>
      <c r="W30" s="51">
        <f t="array" ref="W30">SUMPRODUCT(
  'User-Product'!$B30:$J30,
  INDEX('User-Product'!$B$2:$J$43, MATCH(W$1, 'User-Product'!$A$2:$A$43, 0), 0)
)</f>
        <v>0</v>
      </c>
      <c r="X30" s="51">
        <f t="array" ref="X30">SUMPRODUCT(
  'User-Product'!$B30:$J30,
  INDEX('User-Product'!$B$2:$J$43, MATCH(X$1, 'User-Product'!$A$2:$A$43, 0), 0)
)</f>
        <v>0</v>
      </c>
      <c r="Y30" s="51">
        <f t="array" ref="Y30">SUMPRODUCT(
  'User-Product'!$B30:$J30,
  INDEX('User-Product'!$B$2:$J$43, MATCH(Y$1, 'User-Product'!$A$2:$A$43, 0), 0)
)</f>
        <v>2</v>
      </c>
      <c r="Z30" s="51">
        <f t="array" ref="Z30">SUMPRODUCT(
  'User-Product'!$B30:$J30,
  INDEX('User-Product'!$B$2:$J$43, MATCH(Z$1, 'User-Product'!$A$2:$A$43, 0), 0)
)</f>
        <v>0</v>
      </c>
      <c r="AA30" s="51">
        <f t="array" ref="AA30">SUMPRODUCT(
  'User-Product'!$B30:$J30,
  INDEX('User-Product'!$B$2:$J$43, MATCH(AA$1, 'User-Product'!$A$2:$A$43, 0), 0)
)</f>
        <v>0</v>
      </c>
      <c r="AB30" s="51">
        <f t="array" ref="AB30">SUMPRODUCT(
  'User-Product'!$B30:$J30,
  INDEX('User-Product'!$B$2:$J$43, MATCH(AB$1, 'User-Product'!$A$2:$A$43, 0), 0)
)</f>
        <v>2</v>
      </c>
      <c r="AC30" s="51">
        <f t="array" ref="AC30">SUMPRODUCT(
  'User-Product'!$B30:$J30,
  INDEX('User-Product'!$B$2:$J$43, MATCH(AC$1, 'User-Product'!$A$2:$A$43, 0), 0)
)</f>
        <v>2</v>
      </c>
      <c r="AD30" s="51">
        <f t="array" ref="AD30">SUMPRODUCT(
  'User-Product'!$B30:$J30,
  INDEX('User-Product'!$B$2:$J$43, MATCH(AD$1, 'User-Product'!$A$2:$A$43, 0), 0)
)</f>
        <v>4</v>
      </c>
      <c r="AE30" s="51">
        <f t="array" ref="AE30">SUMPRODUCT(
  'User-Product'!$B30:$J30,
  INDEX('User-Product'!$B$2:$J$43, MATCH(AE$1, 'User-Product'!$A$2:$A$43, 0), 0)
)</f>
        <v>1</v>
      </c>
      <c r="AF30" s="51">
        <f t="array" ref="AF30">SUMPRODUCT(
  'User-Product'!$B30:$J30,
  INDEX('User-Product'!$B$2:$J$43, MATCH(AF$1, 'User-Product'!$A$2:$A$43, 0), 0)
)</f>
        <v>4</v>
      </c>
      <c r="AG30" s="51">
        <f t="array" ref="AG30">SUMPRODUCT(
  'User-Product'!$B30:$J30,
  INDEX('User-Product'!$B$2:$J$43, MATCH(AG$1, 'User-Product'!$A$2:$A$43, 0), 0)
)</f>
        <v>2</v>
      </c>
      <c r="AH30" s="51">
        <f t="array" ref="AH30">SUMPRODUCT(
  'User-Product'!$B30:$J30,
  INDEX('User-Product'!$B$2:$J$43, MATCH(AH$1, 'User-Product'!$A$2:$A$43, 0), 0)
)</f>
        <v>2</v>
      </c>
      <c r="AI30" s="51">
        <f t="array" ref="AI30">SUMPRODUCT(
  'User-Product'!$B30:$J30,
  INDEX('User-Product'!$B$2:$J$43, MATCH(AI$1, 'User-Product'!$A$2:$A$43, 0), 0)
)</f>
        <v>2</v>
      </c>
      <c r="AJ30" s="51">
        <f t="array" ref="AJ30">SUMPRODUCT(
  'User-Product'!$B30:$J30,
  INDEX('User-Product'!$B$2:$J$43, MATCH(AJ$1, 'User-Product'!$A$2:$A$43, 0), 0)
)</f>
        <v>1</v>
      </c>
      <c r="AK30" s="51">
        <f t="array" ref="AK30">SUMPRODUCT(
  'User-Product'!$B30:$J30,
  INDEX('User-Product'!$B$2:$J$43, MATCH(AK$1, 'User-Product'!$A$2:$A$43, 0), 0)
)</f>
        <v>0</v>
      </c>
      <c r="AL30" s="51">
        <f t="array" ref="AL30">SUMPRODUCT(
  'User-Product'!$B30:$J30,
  INDEX('User-Product'!$B$2:$J$43, MATCH(AL$1, 'User-Product'!$A$2:$A$43, 0), 0)
)</f>
        <v>1</v>
      </c>
      <c r="AM30" s="51">
        <f t="array" ref="AM30">SUMPRODUCT(
  'User-Product'!$B30:$J30,
  INDEX('User-Product'!$B$2:$J$43, MATCH(AM$1, 'User-Product'!$A$2:$A$43, 0), 0)
)</f>
        <v>0</v>
      </c>
      <c r="AN30" s="51">
        <f t="array" ref="AN30">SUMPRODUCT(
  'User-Product'!$B30:$J30,
  INDEX('User-Product'!$B$2:$J$43, MATCH(AN$1, 'User-Product'!$A$2:$A$43, 0), 0)
)</f>
        <v>4</v>
      </c>
      <c r="AO30" s="51">
        <f t="array" ref="AO30">SUMPRODUCT(
  'User-Product'!$B30:$J30,
  INDEX('User-Product'!$B$2:$J$43, MATCH(AO$1, 'User-Product'!$A$2:$A$43, 0), 0)
)</f>
        <v>1</v>
      </c>
      <c r="AP30" s="51">
        <f t="array" ref="AP30">SUMPRODUCT(
  'User-Product'!$B30:$J30,
  INDEX('User-Product'!$B$2:$J$43, MATCH(AP$1, 'User-Product'!$A$2:$A$43, 0), 0)
)</f>
        <v>1</v>
      </c>
      <c r="AQ30" s="51">
        <f t="array" ref="AQ30">SUMPRODUCT(
  'User-Product'!$B30:$J30,
  INDEX('User-Product'!$B$2:$J$43, MATCH(AQ$1, 'User-Product'!$A$2:$A$43, 0), 0)
)</f>
        <v>4</v>
      </c>
      <c r="AR30" s="51"/>
      <c r="AS30" s="51"/>
      <c r="AT30" s="51"/>
      <c r="AU30" s="51"/>
      <c r="AV30" s="51"/>
      <c r="AW30" s="51"/>
      <c r="AX30" s="51"/>
      <c r="AY30" s="51"/>
    </row>
    <row r="31">
      <c r="A31" s="52" t="s">
        <v>91</v>
      </c>
      <c r="B31" s="51">
        <f t="array" ref="B31">SUMPRODUCT(
  'User-Product'!$B31:$J31,
  INDEX('User-Product'!$B$2:$J$43, MATCH(B$1, 'User-Product'!$A$2:$A$43, 0), 0)
)</f>
        <v>3</v>
      </c>
      <c r="C31" s="51">
        <f t="array" ref="C31">SUMPRODUCT(
  'User-Product'!$B31:$J31,
  INDEX('User-Product'!$B$2:$J$43, MATCH(C$1, 'User-Product'!$A$2:$A$43, 0), 0)
)</f>
        <v>1</v>
      </c>
      <c r="D31" s="51">
        <f t="array" ref="D31">SUMPRODUCT(
  'User-Product'!$B31:$J31,
  INDEX('User-Product'!$B$2:$J$43, MATCH(D$1, 'User-Product'!$A$2:$A$43, 0), 0)
)</f>
        <v>1</v>
      </c>
      <c r="E31" s="51">
        <f t="array" ref="E31">SUMPRODUCT(
  'User-Product'!$B31:$J31,
  INDEX('User-Product'!$B$2:$J$43, MATCH(E$1, 'User-Product'!$A$2:$A$43, 0), 0)
)</f>
        <v>0</v>
      </c>
      <c r="F31" s="51">
        <f t="array" ref="F31">SUMPRODUCT(
  'User-Product'!$B31:$J31,
  INDEX('User-Product'!$B$2:$J$43, MATCH(F$1, 'User-Product'!$A$2:$A$43, 0), 0)
)</f>
        <v>3</v>
      </c>
      <c r="G31" s="51">
        <f t="array" ref="G31">SUMPRODUCT(
  'User-Product'!$B31:$J31,
  INDEX('User-Product'!$B$2:$J$43, MATCH(G$1, 'User-Product'!$A$2:$A$43, 0), 0)
)</f>
        <v>1</v>
      </c>
      <c r="H31" s="51">
        <f t="array" ref="H31">SUMPRODUCT(
  'User-Product'!$B31:$J31,
  INDEX('User-Product'!$B$2:$J$43, MATCH(H$1, 'User-Product'!$A$2:$A$43, 0), 0)
)</f>
        <v>2</v>
      </c>
      <c r="I31" s="51">
        <f t="array" ref="I31">SUMPRODUCT(
  'User-Product'!$B31:$J31,
  INDEX('User-Product'!$B$2:$J$43, MATCH(I$1, 'User-Product'!$A$2:$A$43, 0), 0)
)</f>
        <v>2</v>
      </c>
      <c r="J31" s="51">
        <f t="array" ref="J31">SUMPRODUCT(
  'User-Product'!$B31:$J31,
  INDEX('User-Product'!$B$2:$J$43, MATCH(J$1, 'User-Product'!$A$2:$A$43, 0), 0)
)</f>
        <v>2</v>
      </c>
      <c r="K31" s="51">
        <f t="array" ref="K31">SUMPRODUCT(
  'User-Product'!$B31:$J31,
  INDEX('User-Product'!$B$2:$J$43, MATCH(K$1, 'User-Product'!$A$2:$A$43, 0), 0)
)</f>
        <v>2</v>
      </c>
      <c r="L31" s="51">
        <f t="array" ref="L31">SUMPRODUCT(
  'User-Product'!$B31:$J31,
  INDEX('User-Product'!$B$2:$J$43, MATCH(L$1, 'User-Product'!$A$2:$A$43, 0), 0)
)</f>
        <v>1</v>
      </c>
      <c r="M31" s="51">
        <f t="array" ref="M31">SUMPRODUCT(
  'User-Product'!$B31:$J31,
  INDEX('User-Product'!$B$2:$J$43, MATCH(M$1, 'User-Product'!$A$2:$A$43, 0), 0)
)</f>
        <v>1</v>
      </c>
      <c r="N31" s="51">
        <f t="array" ref="N31">SUMPRODUCT(
  'User-Product'!$B31:$J31,
  INDEX('User-Product'!$B$2:$J$43, MATCH(N$1, 'User-Product'!$A$2:$A$43, 0), 0)
)</f>
        <v>1</v>
      </c>
      <c r="O31" s="51">
        <f t="array" ref="O31">SUMPRODUCT(
  'User-Product'!$B31:$J31,
  INDEX('User-Product'!$B$2:$J$43, MATCH(O$1, 'User-Product'!$A$2:$A$43, 0), 0)
)</f>
        <v>1</v>
      </c>
      <c r="P31" s="51">
        <f t="array" ref="P31">SUMPRODUCT(
  'User-Product'!$B31:$J31,
  INDEX('User-Product'!$B$2:$J$43, MATCH(P$1, 'User-Product'!$A$2:$A$43, 0), 0)
)</f>
        <v>0</v>
      </c>
      <c r="Q31" s="51">
        <f t="array" ref="Q31">SUMPRODUCT(
  'User-Product'!$B31:$J31,
  INDEX('User-Product'!$B$2:$J$43, MATCH(Q$1, 'User-Product'!$A$2:$A$43, 0), 0)
)</f>
        <v>0</v>
      </c>
      <c r="R31" s="51">
        <f t="array" ref="R31">SUMPRODUCT(
  'User-Product'!$B31:$J31,
  INDEX('User-Product'!$B$2:$J$43, MATCH(R$1, 'User-Product'!$A$2:$A$43, 0), 0)
)</f>
        <v>1</v>
      </c>
      <c r="S31" s="51">
        <f t="array" ref="S31">SUMPRODUCT(
  'User-Product'!$B31:$J31,
  INDEX('User-Product'!$B$2:$J$43, MATCH(S$1, 'User-Product'!$A$2:$A$43, 0), 0)
)</f>
        <v>1</v>
      </c>
      <c r="T31" s="51">
        <f t="array" ref="T31">SUMPRODUCT(
  'User-Product'!$B31:$J31,
  INDEX('User-Product'!$B$2:$J$43, MATCH(T$1, 'User-Product'!$A$2:$A$43, 0), 0)
)</f>
        <v>2</v>
      </c>
      <c r="U31" s="51">
        <f t="array" ref="U31">SUMPRODUCT(
  'User-Product'!$B31:$J31,
  INDEX('User-Product'!$B$2:$J$43, MATCH(U$1, 'User-Product'!$A$2:$A$43, 0), 0)
)</f>
        <v>1</v>
      </c>
      <c r="V31" s="51">
        <f t="array" ref="V31">SUMPRODUCT(
  'User-Product'!$B31:$J31,
  INDEX('User-Product'!$B$2:$J$43, MATCH(V$1, 'User-Product'!$A$2:$A$43, 0), 0)
)</f>
        <v>0</v>
      </c>
      <c r="W31" s="51">
        <f t="array" ref="W31">SUMPRODUCT(
  'User-Product'!$B31:$J31,
  INDEX('User-Product'!$B$2:$J$43, MATCH(W$1, 'User-Product'!$A$2:$A$43, 0), 0)
)</f>
        <v>1</v>
      </c>
      <c r="X31" s="51">
        <f t="array" ref="X31">SUMPRODUCT(
  'User-Product'!$B31:$J31,
  INDEX('User-Product'!$B$2:$J$43, MATCH(X$1, 'User-Product'!$A$2:$A$43, 0), 0)
)</f>
        <v>1</v>
      </c>
      <c r="Y31" s="51">
        <f t="array" ref="Y31">SUMPRODUCT(
  'User-Product'!$B31:$J31,
  INDEX('User-Product'!$B$2:$J$43, MATCH(Y$1, 'User-Product'!$A$2:$A$43, 0), 0)
)</f>
        <v>2</v>
      </c>
      <c r="Z31" s="51">
        <f t="array" ref="Z31">SUMPRODUCT(
  'User-Product'!$B31:$J31,
  INDEX('User-Product'!$B$2:$J$43, MATCH(Z$1, 'User-Product'!$A$2:$A$43, 0), 0)
)</f>
        <v>1</v>
      </c>
      <c r="AA31" s="51">
        <f t="array" ref="AA31">SUMPRODUCT(
  'User-Product'!$B31:$J31,
  INDEX('User-Product'!$B$2:$J$43, MATCH(AA$1, 'User-Product'!$A$2:$A$43, 0), 0)
)</f>
        <v>1</v>
      </c>
      <c r="AB31" s="51">
        <f t="array" ref="AB31">SUMPRODUCT(
  'User-Product'!$B31:$J31,
  INDEX('User-Product'!$B$2:$J$43, MATCH(AB$1, 'User-Product'!$A$2:$A$43, 0), 0)
)</f>
        <v>3</v>
      </c>
      <c r="AC31" s="51">
        <f t="array" ref="AC31">SUMPRODUCT(
  'User-Product'!$B31:$J31,
  INDEX('User-Product'!$B$2:$J$43, MATCH(AC$1, 'User-Product'!$A$2:$A$43, 0), 0)
)</f>
        <v>2</v>
      </c>
      <c r="AD31" s="51">
        <f t="array" ref="AD31">SUMPRODUCT(
  'User-Product'!$B31:$J31,
  INDEX('User-Product'!$B$2:$J$43, MATCH(AD$1, 'User-Product'!$A$2:$A$43, 0), 0)
)</f>
        <v>1</v>
      </c>
      <c r="AE31" s="51">
        <f t="array" ref="AE31">SUMPRODUCT(
  'User-Product'!$B31:$J31,
  INDEX('User-Product'!$B$2:$J$43, MATCH(AE$1, 'User-Product'!$A$2:$A$43, 0), 0)
)</f>
        <v>3</v>
      </c>
      <c r="AF31" s="51">
        <f t="array" ref="AF31">SUMPRODUCT(
  'User-Product'!$B31:$J31,
  INDEX('User-Product'!$B$2:$J$43, MATCH(AF$1, 'User-Product'!$A$2:$A$43, 0), 0)
)</f>
        <v>3</v>
      </c>
      <c r="AG31" s="51">
        <f t="array" ref="AG31">SUMPRODUCT(
  'User-Product'!$B31:$J31,
  INDEX('User-Product'!$B$2:$J$43, MATCH(AG$1, 'User-Product'!$A$2:$A$43, 0), 0)
)</f>
        <v>0</v>
      </c>
      <c r="AH31" s="51">
        <f t="array" ref="AH31">SUMPRODUCT(
  'User-Product'!$B31:$J31,
  INDEX('User-Product'!$B$2:$J$43, MATCH(AH$1, 'User-Product'!$A$2:$A$43, 0), 0)
)</f>
        <v>1</v>
      </c>
      <c r="AI31" s="51">
        <f t="array" ref="AI31">SUMPRODUCT(
  'User-Product'!$B31:$J31,
  INDEX('User-Product'!$B$2:$J$43, MATCH(AI$1, 'User-Product'!$A$2:$A$43, 0), 0)
)</f>
        <v>1</v>
      </c>
      <c r="AJ31" s="51">
        <f t="array" ref="AJ31">SUMPRODUCT(
  'User-Product'!$B31:$J31,
  INDEX('User-Product'!$B$2:$J$43, MATCH(AJ$1, 'User-Product'!$A$2:$A$43, 0), 0)
)</f>
        <v>0</v>
      </c>
      <c r="AK31" s="51">
        <f t="array" ref="AK31">SUMPRODUCT(
  'User-Product'!$B31:$J31,
  INDEX('User-Product'!$B$2:$J$43, MATCH(AK$1, 'User-Product'!$A$2:$A$43, 0), 0)
)</f>
        <v>1</v>
      </c>
      <c r="AL31" s="51">
        <f t="array" ref="AL31">SUMPRODUCT(
  'User-Product'!$B31:$J31,
  INDEX('User-Product'!$B$2:$J$43, MATCH(AL$1, 'User-Product'!$A$2:$A$43, 0), 0)
)</f>
        <v>3</v>
      </c>
      <c r="AM31" s="51">
        <f t="array" ref="AM31">SUMPRODUCT(
  'User-Product'!$B31:$J31,
  INDEX('User-Product'!$B$2:$J$43, MATCH(AM$1, 'User-Product'!$A$2:$A$43, 0), 0)
)</f>
        <v>1</v>
      </c>
      <c r="AN31" s="51">
        <f t="array" ref="AN31">SUMPRODUCT(
  'User-Product'!$B31:$J31,
  INDEX('User-Product'!$B$2:$J$43, MATCH(AN$1, 'User-Product'!$A$2:$A$43, 0), 0)
)</f>
        <v>3</v>
      </c>
      <c r="AO31" s="51">
        <f t="array" ref="AO31">SUMPRODUCT(
  'User-Product'!$B31:$J31,
  INDEX('User-Product'!$B$2:$J$43, MATCH(AO$1, 'User-Product'!$A$2:$A$43, 0), 0)
)</f>
        <v>0</v>
      </c>
      <c r="AP31" s="51">
        <f t="array" ref="AP31">SUMPRODUCT(
  'User-Product'!$B31:$J31,
  INDEX('User-Product'!$B$2:$J$43, MATCH(AP$1, 'User-Product'!$A$2:$A$43, 0), 0)
)</f>
        <v>2</v>
      </c>
      <c r="AQ31" s="51">
        <f t="array" ref="AQ31">SUMPRODUCT(
  'User-Product'!$B31:$J31,
  INDEX('User-Product'!$B$2:$J$43, MATCH(AQ$1, 'User-Product'!$A$2:$A$43, 0), 0)
)</f>
        <v>2</v>
      </c>
      <c r="AR31" s="51"/>
      <c r="AS31" s="51"/>
      <c r="AT31" s="51"/>
      <c r="AU31" s="51"/>
      <c r="AV31" s="51"/>
      <c r="AW31" s="51"/>
      <c r="AX31" s="51"/>
      <c r="AY31" s="51"/>
    </row>
    <row r="32">
      <c r="A32" s="52" t="s">
        <v>92</v>
      </c>
      <c r="B32" s="51">
        <f t="array" ref="B32">SUMPRODUCT(
  'User-Product'!$B32:$J32,
  INDEX('User-Product'!$B$2:$J$43, MATCH(B$1, 'User-Product'!$A$2:$A$43, 0), 0)
)</f>
        <v>3</v>
      </c>
      <c r="C32" s="51">
        <f t="array" ref="C32">SUMPRODUCT(
  'User-Product'!$B32:$J32,
  INDEX('User-Product'!$B$2:$J$43, MATCH(C$1, 'User-Product'!$A$2:$A$43, 0), 0)
)</f>
        <v>3</v>
      </c>
      <c r="D32" s="51">
        <f t="array" ref="D32">SUMPRODUCT(
  'User-Product'!$B32:$J32,
  INDEX('User-Product'!$B$2:$J$43, MATCH(D$1, 'User-Product'!$A$2:$A$43, 0), 0)
)</f>
        <v>2</v>
      </c>
      <c r="E32" s="51">
        <f t="array" ref="E32">SUMPRODUCT(
  'User-Product'!$B32:$J32,
  INDEX('User-Product'!$B$2:$J$43, MATCH(E$1, 'User-Product'!$A$2:$A$43, 0), 0)
)</f>
        <v>1</v>
      </c>
      <c r="F32" s="51">
        <f t="array" ref="F32">SUMPRODUCT(
  'User-Product'!$B32:$J32,
  INDEX('User-Product'!$B$2:$J$43, MATCH(F$1, 'User-Product'!$A$2:$A$43, 0), 0)
)</f>
        <v>9</v>
      </c>
      <c r="G32" s="51">
        <f t="array" ref="G32">SUMPRODUCT(
  'User-Product'!$B32:$J32,
  INDEX('User-Product'!$B$2:$J$43, MATCH(G$1, 'User-Product'!$A$2:$A$43, 0), 0)
)</f>
        <v>2</v>
      </c>
      <c r="H32" s="51">
        <f t="array" ref="H32">SUMPRODUCT(
  'User-Product'!$B32:$J32,
  INDEX('User-Product'!$B$2:$J$43, MATCH(H$1, 'User-Product'!$A$2:$A$43, 0), 0)
)</f>
        <v>6</v>
      </c>
      <c r="I32" s="51">
        <f t="array" ref="I32">SUMPRODUCT(
  'User-Product'!$B32:$J32,
  INDEX('User-Product'!$B$2:$J$43, MATCH(I$1, 'User-Product'!$A$2:$A$43, 0), 0)
)</f>
        <v>3</v>
      </c>
      <c r="J32" s="51">
        <f t="array" ref="J32">SUMPRODUCT(
  'User-Product'!$B32:$J32,
  INDEX('User-Product'!$B$2:$J$43, MATCH(J$1, 'User-Product'!$A$2:$A$43, 0), 0)
)</f>
        <v>6</v>
      </c>
      <c r="K32" s="51">
        <f t="array" ref="K32">SUMPRODUCT(
  'User-Product'!$B32:$J32,
  INDEX('User-Product'!$B$2:$J$43, MATCH(K$1, 'User-Product'!$A$2:$A$43, 0), 0)
)</f>
        <v>3</v>
      </c>
      <c r="L32" s="51">
        <f t="array" ref="L32">SUMPRODUCT(
  'User-Product'!$B32:$J32,
  INDEX('User-Product'!$B$2:$J$43, MATCH(L$1, 'User-Product'!$A$2:$A$43, 0), 0)
)</f>
        <v>1</v>
      </c>
      <c r="M32" s="51">
        <f t="array" ref="M32">SUMPRODUCT(
  'User-Product'!$B32:$J32,
  INDEX('User-Product'!$B$2:$J$43, MATCH(M$1, 'User-Product'!$A$2:$A$43, 0), 0)
)</f>
        <v>1</v>
      </c>
      <c r="N32" s="51">
        <f t="array" ref="N32">SUMPRODUCT(
  'User-Product'!$B32:$J32,
  INDEX('User-Product'!$B$2:$J$43, MATCH(N$1, 'User-Product'!$A$2:$A$43, 0), 0)
)</f>
        <v>1</v>
      </c>
      <c r="O32" s="51">
        <f t="array" ref="O32">SUMPRODUCT(
  'User-Product'!$B32:$J32,
  INDEX('User-Product'!$B$2:$J$43, MATCH(O$1, 'User-Product'!$A$2:$A$43, 0), 0)
)</f>
        <v>2</v>
      </c>
      <c r="P32" s="51">
        <f t="array" ref="P32">SUMPRODUCT(
  'User-Product'!$B32:$J32,
  INDEX('User-Product'!$B$2:$J$43, MATCH(P$1, 'User-Product'!$A$2:$A$43, 0), 0)
)</f>
        <v>3</v>
      </c>
      <c r="Q32" s="51">
        <f t="array" ref="Q32">SUMPRODUCT(
  'User-Product'!$B32:$J32,
  INDEX('User-Product'!$B$2:$J$43, MATCH(Q$1, 'User-Product'!$A$2:$A$43, 0), 0)
)</f>
        <v>1</v>
      </c>
      <c r="R32" s="51">
        <f t="array" ref="R32">SUMPRODUCT(
  'User-Product'!$B32:$J32,
  INDEX('User-Product'!$B$2:$J$43, MATCH(R$1, 'User-Product'!$A$2:$A$43, 0), 0)
)</f>
        <v>2</v>
      </c>
      <c r="S32" s="51">
        <f t="array" ref="S32">SUMPRODUCT(
  'User-Product'!$B32:$J32,
  INDEX('User-Product'!$B$2:$J$43, MATCH(S$1, 'User-Product'!$A$2:$A$43, 0), 0)
)</f>
        <v>3</v>
      </c>
      <c r="T32" s="51">
        <f t="array" ref="T32">SUMPRODUCT(
  'User-Product'!$B32:$J32,
  INDEX('User-Product'!$B$2:$J$43, MATCH(T$1, 'User-Product'!$A$2:$A$43, 0), 0)
)</f>
        <v>6</v>
      </c>
      <c r="U32" s="51">
        <f t="array" ref="U32">SUMPRODUCT(
  'User-Product'!$B32:$J32,
  INDEX('User-Product'!$B$2:$J$43, MATCH(U$1, 'User-Product'!$A$2:$A$43, 0), 0)
)</f>
        <v>4</v>
      </c>
      <c r="V32" s="51">
        <f t="array" ref="V32">SUMPRODUCT(
  'User-Product'!$B32:$J32,
  INDEX('User-Product'!$B$2:$J$43, MATCH(V$1, 'User-Product'!$A$2:$A$43, 0), 0)
)</f>
        <v>1</v>
      </c>
      <c r="W32" s="51">
        <f t="array" ref="W32">SUMPRODUCT(
  'User-Product'!$B32:$J32,
  INDEX('User-Product'!$B$2:$J$43, MATCH(W$1, 'User-Product'!$A$2:$A$43, 0), 0)
)</f>
        <v>1</v>
      </c>
      <c r="X32" s="51">
        <f t="array" ref="X32">SUMPRODUCT(
  'User-Product'!$B32:$J32,
  INDEX('User-Product'!$B$2:$J$43, MATCH(X$1, 'User-Product'!$A$2:$A$43, 0), 0)
)</f>
        <v>1</v>
      </c>
      <c r="Y32" s="51">
        <f t="array" ref="Y32">SUMPRODUCT(
  'User-Product'!$B32:$J32,
  INDEX('User-Product'!$B$2:$J$43, MATCH(Y$1, 'User-Product'!$A$2:$A$43, 0), 0)
)</f>
        <v>3</v>
      </c>
      <c r="Z32" s="51">
        <f t="array" ref="Z32">SUMPRODUCT(
  'User-Product'!$B32:$J32,
  INDEX('User-Product'!$B$2:$J$43, MATCH(Z$1, 'User-Product'!$A$2:$A$43, 0), 0)
)</f>
        <v>1</v>
      </c>
      <c r="AA32" s="51">
        <f t="array" ref="AA32">SUMPRODUCT(
  'User-Product'!$B32:$J32,
  INDEX('User-Product'!$B$2:$J$43, MATCH(AA$1, 'User-Product'!$A$2:$A$43, 0), 0)
)</f>
        <v>1</v>
      </c>
      <c r="AB32" s="51">
        <f t="array" ref="AB32">SUMPRODUCT(
  'User-Product'!$B32:$J32,
  INDEX('User-Product'!$B$2:$J$43, MATCH(AB$1, 'User-Product'!$A$2:$A$43, 0), 0)
)</f>
        <v>7</v>
      </c>
      <c r="AC32" s="51">
        <f t="array" ref="AC32">SUMPRODUCT(
  'User-Product'!$B32:$J32,
  INDEX('User-Product'!$B$2:$J$43, MATCH(AC$1, 'User-Product'!$A$2:$A$43, 0), 0)
)</f>
        <v>4</v>
      </c>
      <c r="AD32" s="51">
        <f t="array" ref="AD32">SUMPRODUCT(
  'User-Product'!$B32:$J32,
  INDEX('User-Product'!$B$2:$J$43, MATCH(AD$1, 'User-Product'!$A$2:$A$43, 0), 0)
)</f>
        <v>4</v>
      </c>
      <c r="AE32" s="51">
        <f t="array" ref="AE32">SUMPRODUCT(
  'User-Product'!$B32:$J32,
  INDEX('User-Product'!$B$2:$J$43, MATCH(AE$1, 'User-Product'!$A$2:$A$43, 0), 0)
)</f>
        <v>3</v>
      </c>
      <c r="AF32" s="51">
        <f t="array" ref="AF32">SUMPRODUCT(
  'User-Product'!$B32:$J32,
  INDEX('User-Product'!$B$2:$J$43, MATCH(AF$1, 'User-Product'!$A$2:$A$43, 0), 0)
)</f>
        <v>9</v>
      </c>
      <c r="AG32" s="51">
        <f t="array" ref="AG32">SUMPRODUCT(
  'User-Product'!$B32:$J32,
  INDEX('User-Product'!$B$2:$J$43, MATCH(AG$1, 'User-Product'!$A$2:$A$43, 0), 0)
)</f>
        <v>2</v>
      </c>
      <c r="AH32" s="51">
        <f t="array" ref="AH32">SUMPRODUCT(
  'User-Product'!$B32:$J32,
  INDEX('User-Product'!$B$2:$J$43, MATCH(AH$1, 'User-Product'!$A$2:$A$43, 0), 0)
)</f>
        <v>3</v>
      </c>
      <c r="AI32" s="51">
        <f t="array" ref="AI32">SUMPRODUCT(
  'User-Product'!$B32:$J32,
  INDEX('User-Product'!$B$2:$J$43, MATCH(AI$1, 'User-Product'!$A$2:$A$43, 0), 0)
)</f>
        <v>3</v>
      </c>
      <c r="AJ32" s="51">
        <f t="array" ref="AJ32">SUMPRODUCT(
  'User-Product'!$B32:$J32,
  INDEX('User-Product'!$B$2:$J$43, MATCH(AJ$1, 'User-Product'!$A$2:$A$43, 0), 0)
)</f>
        <v>1</v>
      </c>
      <c r="AK32" s="51">
        <f t="array" ref="AK32">SUMPRODUCT(
  'User-Product'!$B32:$J32,
  INDEX('User-Product'!$B$2:$J$43, MATCH(AK$1, 'User-Product'!$A$2:$A$43, 0), 0)
)</f>
        <v>1</v>
      </c>
      <c r="AL32" s="51">
        <f t="array" ref="AL32">SUMPRODUCT(
  'User-Product'!$B32:$J32,
  INDEX('User-Product'!$B$2:$J$43, MATCH(AL$1, 'User-Product'!$A$2:$A$43, 0), 0)
)</f>
        <v>5</v>
      </c>
      <c r="AM32" s="51">
        <f t="array" ref="AM32">SUMPRODUCT(
  'User-Product'!$B32:$J32,
  INDEX('User-Product'!$B$2:$J$43, MATCH(AM$1, 'User-Product'!$A$2:$A$43, 0), 0)
)</f>
        <v>1</v>
      </c>
      <c r="AN32" s="51">
        <f t="array" ref="AN32">SUMPRODUCT(
  'User-Product'!$B32:$J32,
  INDEX('User-Product'!$B$2:$J$43, MATCH(AN$1, 'User-Product'!$A$2:$A$43, 0), 0)
)</f>
        <v>7</v>
      </c>
      <c r="AO32" s="51">
        <f t="array" ref="AO32">SUMPRODUCT(
  'User-Product'!$B32:$J32,
  INDEX('User-Product'!$B$2:$J$43, MATCH(AO$1, 'User-Product'!$A$2:$A$43, 0), 0)
)</f>
        <v>1</v>
      </c>
      <c r="AP32" s="51">
        <f t="array" ref="AP32">SUMPRODUCT(
  'User-Product'!$B32:$J32,
  INDEX('User-Product'!$B$2:$J$43, MATCH(AP$1, 'User-Product'!$A$2:$A$43, 0), 0)
)</f>
        <v>3</v>
      </c>
      <c r="AQ32" s="51">
        <f t="array" ref="AQ32">SUMPRODUCT(
  'User-Product'!$B32:$J32,
  INDEX('User-Product'!$B$2:$J$43, MATCH(AQ$1, 'User-Product'!$A$2:$A$43, 0), 0)
)</f>
        <v>6</v>
      </c>
      <c r="AR32" s="51"/>
      <c r="AS32" s="51"/>
      <c r="AT32" s="51"/>
      <c r="AU32" s="51"/>
      <c r="AV32" s="51"/>
      <c r="AW32" s="51"/>
      <c r="AX32" s="51"/>
      <c r="AY32" s="51"/>
    </row>
    <row r="33">
      <c r="A33" s="52" t="s">
        <v>93</v>
      </c>
      <c r="B33" s="51">
        <f t="array" ref="B33">SUMPRODUCT(
  'User-Product'!$B33:$J33,
  INDEX('User-Product'!$B$2:$J$43, MATCH(B$1, 'User-Product'!$A$2:$A$43, 0), 0)
)</f>
        <v>0</v>
      </c>
      <c r="C33" s="51">
        <f t="array" ref="C33">SUMPRODUCT(
  'User-Product'!$B33:$J33,
  INDEX('User-Product'!$B$2:$J$43, MATCH(C$1, 'User-Product'!$A$2:$A$43, 0), 0)
)</f>
        <v>0</v>
      </c>
      <c r="D33" s="51">
        <f t="array" ref="D33">SUMPRODUCT(
  'User-Product'!$B33:$J33,
  INDEX('User-Product'!$B$2:$J$43, MATCH(D$1, 'User-Product'!$A$2:$A$43, 0), 0)
)</f>
        <v>1</v>
      </c>
      <c r="E33" s="51">
        <f t="array" ref="E33">SUMPRODUCT(
  'User-Product'!$B33:$J33,
  INDEX('User-Product'!$B$2:$J$43, MATCH(E$1, 'User-Product'!$A$2:$A$43, 0), 0)
)</f>
        <v>1</v>
      </c>
      <c r="F33" s="51">
        <f t="array" ref="F33">SUMPRODUCT(
  'User-Product'!$B33:$J33,
  INDEX('User-Product'!$B$2:$J$43, MATCH(F$1, 'User-Product'!$A$2:$A$43, 0), 0)
)</f>
        <v>2</v>
      </c>
      <c r="G33" s="51">
        <f t="array" ref="G33">SUMPRODUCT(
  'User-Product'!$B33:$J33,
  INDEX('User-Product'!$B$2:$J$43, MATCH(G$1, 'User-Product'!$A$2:$A$43, 0), 0)
)</f>
        <v>0</v>
      </c>
      <c r="H33" s="51">
        <f t="array" ref="H33">SUMPRODUCT(
  'User-Product'!$B33:$J33,
  INDEX('User-Product'!$B$2:$J$43, MATCH(H$1, 'User-Product'!$A$2:$A$43, 0), 0)
)</f>
        <v>1</v>
      </c>
      <c r="I33" s="51">
        <f t="array" ref="I33">SUMPRODUCT(
  'User-Product'!$B33:$J33,
  INDEX('User-Product'!$B$2:$J$43, MATCH(I$1, 'User-Product'!$A$2:$A$43, 0), 0)
)</f>
        <v>1</v>
      </c>
      <c r="J33" s="51">
        <f t="array" ref="J33">SUMPRODUCT(
  'User-Product'!$B33:$J33,
  INDEX('User-Product'!$B$2:$J$43, MATCH(J$1, 'User-Product'!$A$2:$A$43, 0), 0)
)</f>
        <v>2</v>
      </c>
      <c r="K33" s="51">
        <f t="array" ref="K33">SUMPRODUCT(
  'User-Product'!$B33:$J33,
  INDEX('User-Product'!$B$2:$J$43, MATCH(K$1, 'User-Product'!$A$2:$A$43, 0), 0)
)</f>
        <v>0</v>
      </c>
      <c r="L33" s="51">
        <f t="array" ref="L33">SUMPRODUCT(
  'User-Product'!$B33:$J33,
  INDEX('User-Product'!$B$2:$J$43, MATCH(L$1, 'User-Product'!$A$2:$A$43, 0), 0)
)</f>
        <v>0</v>
      </c>
      <c r="M33" s="51">
        <f t="array" ref="M33">SUMPRODUCT(
  'User-Product'!$B33:$J33,
  INDEX('User-Product'!$B$2:$J$43, MATCH(M$1, 'User-Product'!$A$2:$A$43, 0), 0)
)</f>
        <v>0</v>
      </c>
      <c r="N33" s="51">
        <f t="array" ref="N33">SUMPRODUCT(
  'User-Product'!$B33:$J33,
  INDEX('User-Product'!$B$2:$J$43, MATCH(N$1, 'User-Product'!$A$2:$A$43, 0), 0)
)</f>
        <v>0</v>
      </c>
      <c r="O33" s="51">
        <f t="array" ref="O33">SUMPRODUCT(
  'User-Product'!$B33:$J33,
  INDEX('User-Product'!$B$2:$J$43, MATCH(O$1, 'User-Product'!$A$2:$A$43, 0), 0)
)</f>
        <v>0</v>
      </c>
      <c r="P33" s="51">
        <f t="array" ref="P33">SUMPRODUCT(
  'User-Product'!$B33:$J33,
  INDEX('User-Product'!$B$2:$J$43, MATCH(P$1, 'User-Product'!$A$2:$A$43, 0), 0)
)</f>
        <v>2</v>
      </c>
      <c r="Q33" s="51">
        <f t="array" ref="Q33">SUMPRODUCT(
  'User-Product'!$B33:$J33,
  INDEX('User-Product'!$B$2:$J$43, MATCH(Q$1, 'User-Product'!$A$2:$A$43, 0), 0)
)</f>
        <v>1</v>
      </c>
      <c r="R33" s="51">
        <f t="array" ref="R33">SUMPRODUCT(
  'User-Product'!$B33:$J33,
  INDEX('User-Product'!$B$2:$J$43, MATCH(R$1, 'User-Product'!$A$2:$A$43, 0), 0)
)</f>
        <v>1</v>
      </c>
      <c r="S33" s="51">
        <f t="array" ref="S33">SUMPRODUCT(
  'User-Product'!$B33:$J33,
  INDEX('User-Product'!$B$2:$J$43, MATCH(S$1, 'User-Product'!$A$2:$A$43, 0), 0)
)</f>
        <v>1</v>
      </c>
      <c r="T33" s="51">
        <f t="array" ref="T33">SUMPRODUCT(
  'User-Product'!$B33:$J33,
  INDEX('User-Product'!$B$2:$J$43, MATCH(T$1, 'User-Product'!$A$2:$A$43, 0), 0)
)</f>
        <v>1</v>
      </c>
      <c r="U33" s="51">
        <f t="array" ref="U33">SUMPRODUCT(
  'User-Product'!$B33:$J33,
  INDEX('User-Product'!$B$2:$J$43, MATCH(U$1, 'User-Product'!$A$2:$A$43, 0), 0)
)</f>
        <v>1</v>
      </c>
      <c r="V33" s="51">
        <f t="array" ref="V33">SUMPRODUCT(
  'User-Product'!$B33:$J33,
  INDEX('User-Product'!$B$2:$J$43, MATCH(V$1, 'User-Product'!$A$2:$A$43, 0), 0)
)</f>
        <v>0</v>
      </c>
      <c r="W33" s="51">
        <f t="array" ref="W33">SUMPRODUCT(
  'User-Product'!$B33:$J33,
  INDEX('User-Product'!$B$2:$J$43, MATCH(W$1, 'User-Product'!$A$2:$A$43, 0), 0)
)</f>
        <v>0</v>
      </c>
      <c r="X33" s="51">
        <f t="array" ref="X33">SUMPRODUCT(
  'User-Product'!$B33:$J33,
  INDEX('User-Product'!$B$2:$J$43, MATCH(X$1, 'User-Product'!$A$2:$A$43, 0), 0)
)</f>
        <v>0</v>
      </c>
      <c r="Y33" s="51">
        <f t="array" ref="Y33">SUMPRODUCT(
  'User-Product'!$B33:$J33,
  INDEX('User-Product'!$B$2:$J$43, MATCH(Y$1, 'User-Product'!$A$2:$A$43, 0), 0)
)</f>
        <v>0</v>
      </c>
      <c r="Z33" s="51">
        <f t="array" ref="Z33">SUMPRODUCT(
  'User-Product'!$B33:$J33,
  INDEX('User-Product'!$B$2:$J$43, MATCH(Z$1, 'User-Product'!$A$2:$A$43, 0), 0)
)</f>
        <v>0</v>
      </c>
      <c r="AA33" s="51">
        <f t="array" ref="AA33">SUMPRODUCT(
  'User-Product'!$B33:$J33,
  INDEX('User-Product'!$B$2:$J$43, MATCH(AA$1, 'User-Product'!$A$2:$A$43, 0), 0)
)</f>
        <v>0</v>
      </c>
      <c r="AB33" s="51">
        <f t="array" ref="AB33">SUMPRODUCT(
  'User-Product'!$B33:$J33,
  INDEX('User-Product'!$B$2:$J$43, MATCH(AB$1, 'User-Product'!$A$2:$A$43, 0), 0)
)</f>
        <v>0</v>
      </c>
      <c r="AC33" s="51">
        <f t="array" ref="AC33">SUMPRODUCT(
  'User-Product'!$B33:$J33,
  INDEX('User-Product'!$B$2:$J$43, MATCH(AC$1, 'User-Product'!$A$2:$A$43, 0), 0)
)</f>
        <v>1</v>
      </c>
      <c r="AD33" s="51">
        <f t="array" ref="AD33">SUMPRODUCT(
  'User-Product'!$B33:$J33,
  INDEX('User-Product'!$B$2:$J$43, MATCH(AD$1, 'User-Product'!$A$2:$A$43, 0), 0)
)</f>
        <v>2</v>
      </c>
      <c r="AE33" s="51">
        <f t="array" ref="AE33">SUMPRODUCT(
  'User-Product'!$B33:$J33,
  INDEX('User-Product'!$B$2:$J$43, MATCH(AE$1, 'User-Product'!$A$2:$A$43, 0), 0)
)</f>
        <v>0</v>
      </c>
      <c r="AF33" s="51">
        <f t="array" ref="AF33">SUMPRODUCT(
  'User-Product'!$B33:$J33,
  INDEX('User-Product'!$B$2:$J$43, MATCH(AF$1, 'User-Product'!$A$2:$A$43, 0), 0)
)</f>
        <v>2</v>
      </c>
      <c r="AG33" s="51">
        <f t="array" ref="AG33">SUMPRODUCT(
  'User-Product'!$B33:$J33,
  INDEX('User-Product'!$B$2:$J$43, MATCH(AG$1, 'User-Product'!$A$2:$A$43, 0), 0)
)</f>
        <v>2</v>
      </c>
      <c r="AH33" s="51">
        <f t="array" ref="AH33">SUMPRODUCT(
  'User-Product'!$B33:$J33,
  INDEX('User-Product'!$B$2:$J$43, MATCH(AH$1, 'User-Product'!$A$2:$A$43, 0), 0)
)</f>
        <v>1</v>
      </c>
      <c r="AI33" s="51">
        <f t="array" ref="AI33">SUMPRODUCT(
  'User-Product'!$B33:$J33,
  INDEX('User-Product'!$B$2:$J$43, MATCH(AI$1, 'User-Product'!$A$2:$A$43, 0), 0)
)</f>
        <v>1</v>
      </c>
      <c r="AJ33" s="51">
        <f t="array" ref="AJ33">SUMPRODUCT(
  'User-Product'!$B33:$J33,
  INDEX('User-Product'!$B$2:$J$43, MATCH(AJ$1, 'User-Product'!$A$2:$A$43, 0), 0)
)</f>
        <v>1</v>
      </c>
      <c r="AK33" s="51">
        <f t="array" ref="AK33">SUMPRODUCT(
  'User-Product'!$B33:$J33,
  INDEX('User-Product'!$B$2:$J$43, MATCH(AK$1, 'User-Product'!$A$2:$A$43, 0), 0)
)</f>
        <v>0</v>
      </c>
      <c r="AL33" s="51">
        <f t="array" ref="AL33">SUMPRODUCT(
  'User-Product'!$B33:$J33,
  INDEX('User-Product'!$B$2:$J$43, MATCH(AL$1, 'User-Product'!$A$2:$A$43, 0), 0)
)</f>
        <v>0</v>
      </c>
      <c r="AM33" s="51">
        <f t="array" ref="AM33">SUMPRODUCT(
  'User-Product'!$B33:$J33,
  INDEX('User-Product'!$B$2:$J$43, MATCH(AM$1, 'User-Product'!$A$2:$A$43, 0), 0)
)</f>
        <v>0</v>
      </c>
      <c r="AN33" s="51">
        <f t="array" ref="AN33">SUMPRODUCT(
  'User-Product'!$B33:$J33,
  INDEX('User-Product'!$B$2:$J$43, MATCH(AN$1, 'User-Product'!$A$2:$A$43, 0), 0)
)</f>
        <v>2</v>
      </c>
      <c r="AO33" s="51">
        <f t="array" ref="AO33">SUMPRODUCT(
  'User-Product'!$B33:$J33,
  INDEX('User-Product'!$B$2:$J$43, MATCH(AO$1, 'User-Product'!$A$2:$A$43, 0), 0)
)</f>
        <v>1</v>
      </c>
      <c r="AP33" s="51">
        <f t="array" ref="AP33">SUMPRODUCT(
  'User-Product'!$B33:$J33,
  INDEX('User-Product'!$B$2:$J$43, MATCH(AP$1, 'User-Product'!$A$2:$A$43, 0), 0)
)</f>
        <v>0</v>
      </c>
      <c r="AQ33" s="51">
        <f t="array" ref="AQ33">SUMPRODUCT(
  'User-Product'!$B33:$J33,
  INDEX('User-Product'!$B$2:$J$43, MATCH(AQ$1, 'User-Product'!$A$2:$A$43, 0), 0)
)</f>
        <v>2</v>
      </c>
      <c r="AR33" s="51"/>
      <c r="AS33" s="51"/>
      <c r="AT33" s="51"/>
      <c r="AU33" s="51"/>
      <c r="AV33" s="51"/>
      <c r="AW33" s="51"/>
      <c r="AX33" s="51"/>
      <c r="AY33" s="51"/>
    </row>
    <row r="34">
      <c r="A34" s="52" t="s">
        <v>94</v>
      </c>
      <c r="B34" s="51">
        <f t="array" ref="B34">SUMPRODUCT(
  'User-Product'!$B34:$J34,
  INDEX('User-Product'!$B$2:$J$43, MATCH(B$1, 'User-Product'!$A$2:$A$43, 0), 0)
)</f>
        <v>1</v>
      </c>
      <c r="C34" s="51">
        <f t="array" ref="C34">SUMPRODUCT(
  'User-Product'!$B34:$J34,
  INDEX('User-Product'!$B$2:$J$43, MATCH(C$1, 'User-Product'!$A$2:$A$43, 0), 0)
)</f>
        <v>1</v>
      </c>
      <c r="D34" s="51">
        <f t="array" ref="D34">SUMPRODUCT(
  'User-Product'!$B34:$J34,
  INDEX('User-Product'!$B$2:$J$43, MATCH(D$1, 'User-Product'!$A$2:$A$43, 0), 0)
)</f>
        <v>0</v>
      </c>
      <c r="E34" s="51">
        <f t="array" ref="E34">SUMPRODUCT(
  'User-Product'!$B34:$J34,
  INDEX('User-Product'!$B$2:$J$43, MATCH(E$1, 'User-Product'!$A$2:$A$43, 0), 0)
)</f>
        <v>1</v>
      </c>
      <c r="F34" s="51">
        <f t="array" ref="F34">SUMPRODUCT(
  'User-Product'!$B34:$J34,
  INDEX('User-Product'!$B$2:$J$43, MATCH(F$1, 'User-Product'!$A$2:$A$43, 0), 0)
)</f>
        <v>3</v>
      </c>
      <c r="G34" s="51">
        <f t="array" ref="G34">SUMPRODUCT(
  'User-Product'!$B34:$J34,
  INDEX('User-Product'!$B$2:$J$43, MATCH(G$1, 'User-Product'!$A$2:$A$43, 0), 0)
)</f>
        <v>1</v>
      </c>
      <c r="H34" s="51">
        <f t="array" ref="H34">SUMPRODUCT(
  'User-Product'!$B34:$J34,
  INDEX('User-Product'!$B$2:$J$43, MATCH(H$1, 'User-Product'!$A$2:$A$43, 0), 0)
)</f>
        <v>2</v>
      </c>
      <c r="I34" s="51">
        <f t="array" ref="I34">SUMPRODUCT(
  'User-Product'!$B34:$J34,
  INDEX('User-Product'!$B$2:$J$43, MATCH(I$1, 'User-Product'!$A$2:$A$43, 0), 0)
)</f>
        <v>1</v>
      </c>
      <c r="J34" s="51">
        <f t="array" ref="J34">SUMPRODUCT(
  'User-Product'!$B34:$J34,
  INDEX('User-Product'!$B$2:$J$43, MATCH(J$1, 'User-Product'!$A$2:$A$43, 0), 0)
)</f>
        <v>3</v>
      </c>
      <c r="K34" s="51">
        <f t="array" ref="K34">SUMPRODUCT(
  'User-Product'!$B34:$J34,
  INDEX('User-Product'!$B$2:$J$43, MATCH(K$1, 'User-Product'!$A$2:$A$43, 0), 0)
)</f>
        <v>2</v>
      </c>
      <c r="L34" s="51">
        <f t="array" ref="L34">SUMPRODUCT(
  'User-Product'!$B34:$J34,
  INDEX('User-Product'!$B$2:$J$43, MATCH(L$1, 'User-Product'!$A$2:$A$43, 0), 0)
)</f>
        <v>0</v>
      </c>
      <c r="M34" s="51">
        <f t="array" ref="M34">SUMPRODUCT(
  'User-Product'!$B34:$J34,
  INDEX('User-Product'!$B$2:$J$43, MATCH(M$1, 'User-Product'!$A$2:$A$43, 0), 0)
)</f>
        <v>0</v>
      </c>
      <c r="N34" s="51">
        <f t="array" ref="N34">SUMPRODUCT(
  'User-Product'!$B34:$J34,
  INDEX('User-Product'!$B$2:$J$43, MATCH(N$1, 'User-Product'!$A$2:$A$43, 0), 0)
)</f>
        <v>0</v>
      </c>
      <c r="O34" s="51">
        <f t="array" ref="O34">SUMPRODUCT(
  'User-Product'!$B34:$J34,
  INDEX('User-Product'!$B$2:$J$43, MATCH(O$1, 'User-Product'!$A$2:$A$43, 0), 0)
)</f>
        <v>2</v>
      </c>
      <c r="P34" s="51">
        <f t="array" ref="P34">SUMPRODUCT(
  'User-Product'!$B34:$J34,
  INDEX('User-Product'!$B$2:$J$43, MATCH(P$1, 'User-Product'!$A$2:$A$43, 0), 0)
)</f>
        <v>1</v>
      </c>
      <c r="Q34" s="51">
        <f t="array" ref="Q34">SUMPRODUCT(
  'User-Product'!$B34:$J34,
  INDEX('User-Product'!$B$2:$J$43, MATCH(Q$1, 'User-Product'!$A$2:$A$43, 0), 0)
)</f>
        <v>0</v>
      </c>
      <c r="R34" s="51">
        <f t="array" ref="R34">SUMPRODUCT(
  'User-Product'!$B34:$J34,
  INDEX('User-Product'!$B$2:$J$43, MATCH(R$1, 'User-Product'!$A$2:$A$43, 0), 0)
)</f>
        <v>0</v>
      </c>
      <c r="S34" s="51">
        <f t="array" ref="S34">SUMPRODUCT(
  'User-Product'!$B34:$J34,
  INDEX('User-Product'!$B$2:$J$43, MATCH(S$1, 'User-Product'!$A$2:$A$43, 0), 0)
)</f>
        <v>1</v>
      </c>
      <c r="T34" s="51">
        <f t="array" ref="T34">SUMPRODUCT(
  'User-Product'!$B34:$J34,
  INDEX('User-Product'!$B$2:$J$43, MATCH(T$1, 'User-Product'!$A$2:$A$43, 0), 0)
)</f>
        <v>2</v>
      </c>
      <c r="U34" s="51">
        <f t="array" ref="U34">SUMPRODUCT(
  'User-Product'!$B34:$J34,
  INDEX('User-Product'!$B$2:$J$43, MATCH(U$1, 'User-Product'!$A$2:$A$43, 0), 0)
)</f>
        <v>2</v>
      </c>
      <c r="V34" s="51">
        <f t="array" ref="V34">SUMPRODUCT(
  'User-Product'!$B34:$J34,
  INDEX('User-Product'!$B$2:$J$43, MATCH(V$1, 'User-Product'!$A$2:$A$43, 0), 0)
)</f>
        <v>0</v>
      </c>
      <c r="W34" s="51">
        <f t="array" ref="W34">SUMPRODUCT(
  'User-Product'!$B34:$J34,
  INDEX('User-Product'!$B$2:$J$43, MATCH(W$1, 'User-Product'!$A$2:$A$43, 0), 0)
)</f>
        <v>0</v>
      </c>
      <c r="X34" s="51">
        <f t="array" ref="X34">SUMPRODUCT(
  'User-Product'!$B34:$J34,
  INDEX('User-Product'!$B$2:$J$43, MATCH(X$1, 'User-Product'!$A$2:$A$43, 0), 0)
)</f>
        <v>0</v>
      </c>
      <c r="Y34" s="51">
        <f t="array" ref="Y34">SUMPRODUCT(
  'User-Product'!$B34:$J34,
  INDEX('User-Product'!$B$2:$J$43, MATCH(Y$1, 'User-Product'!$A$2:$A$43, 0), 0)
)</f>
        <v>2</v>
      </c>
      <c r="Z34" s="51">
        <f t="array" ref="Z34">SUMPRODUCT(
  'User-Product'!$B34:$J34,
  INDEX('User-Product'!$B$2:$J$43, MATCH(Z$1, 'User-Product'!$A$2:$A$43, 0), 0)
)</f>
        <v>0</v>
      </c>
      <c r="AA34" s="51">
        <f t="array" ref="AA34">SUMPRODUCT(
  'User-Product'!$B34:$J34,
  INDEX('User-Product'!$B$2:$J$43, MATCH(AA$1, 'User-Product'!$A$2:$A$43, 0), 0)
)</f>
        <v>0</v>
      </c>
      <c r="AB34" s="51">
        <f t="array" ref="AB34">SUMPRODUCT(
  'User-Product'!$B34:$J34,
  INDEX('User-Product'!$B$2:$J$43, MATCH(AB$1, 'User-Product'!$A$2:$A$43, 0), 0)
)</f>
        <v>2</v>
      </c>
      <c r="AC34" s="51">
        <f t="array" ref="AC34">SUMPRODUCT(
  'User-Product'!$B34:$J34,
  INDEX('User-Product'!$B$2:$J$43, MATCH(AC$1, 'User-Product'!$A$2:$A$43, 0), 0)
)</f>
        <v>0</v>
      </c>
      <c r="AD34" s="51">
        <f t="array" ref="AD34">SUMPRODUCT(
  'User-Product'!$B34:$J34,
  INDEX('User-Product'!$B$2:$J$43, MATCH(AD$1, 'User-Product'!$A$2:$A$43, 0), 0)
)</f>
        <v>2</v>
      </c>
      <c r="AE34" s="51">
        <f t="array" ref="AE34">SUMPRODUCT(
  'User-Product'!$B34:$J34,
  INDEX('User-Product'!$B$2:$J$43, MATCH(AE$1, 'User-Product'!$A$2:$A$43, 0), 0)
)</f>
        <v>1</v>
      </c>
      <c r="AF34" s="51">
        <f t="array" ref="AF34">SUMPRODUCT(
  'User-Product'!$B34:$J34,
  INDEX('User-Product'!$B$2:$J$43, MATCH(AF$1, 'User-Product'!$A$2:$A$43, 0), 0)
)</f>
        <v>3</v>
      </c>
      <c r="AG34" s="51">
        <f t="array" ref="AG34">SUMPRODUCT(
  'User-Product'!$B34:$J34,
  INDEX('User-Product'!$B$2:$J$43, MATCH(AG$1, 'User-Product'!$A$2:$A$43, 0), 0)
)</f>
        <v>1</v>
      </c>
      <c r="AH34" s="51">
        <f t="array" ref="AH34">SUMPRODUCT(
  'User-Product'!$B34:$J34,
  INDEX('User-Product'!$B$2:$J$43, MATCH(AH$1, 'User-Product'!$A$2:$A$43, 0), 0)
)</f>
        <v>3</v>
      </c>
      <c r="AI34" s="51">
        <f t="array" ref="AI34">SUMPRODUCT(
  'User-Product'!$B34:$J34,
  INDEX('User-Product'!$B$2:$J$43, MATCH(AI$1, 'User-Product'!$A$2:$A$43, 0), 0)
)</f>
        <v>3</v>
      </c>
      <c r="AJ34" s="51">
        <f t="array" ref="AJ34">SUMPRODUCT(
  'User-Product'!$B34:$J34,
  INDEX('User-Product'!$B$2:$J$43, MATCH(AJ$1, 'User-Product'!$A$2:$A$43, 0), 0)
)</f>
        <v>1</v>
      </c>
      <c r="AK34" s="51">
        <f t="array" ref="AK34">SUMPRODUCT(
  'User-Product'!$B34:$J34,
  INDEX('User-Product'!$B$2:$J$43, MATCH(AK$1, 'User-Product'!$A$2:$A$43, 0), 0)
)</f>
        <v>0</v>
      </c>
      <c r="AL34" s="51">
        <f t="array" ref="AL34">SUMPRODUCT(
  'User-Product'!$B34:$J34,
  INDEX('User-Product'!$B$2:$J$43, MATCH(AL$1, 'User-Product'!$A$2:$A$43, 0), 0)
)</f>
        <v>1</v>
      </c>
      <c r="AM34" s="51">
        <f t="array" ref="AM34">SUMPRODUCT(
  'User-Product'!$B34:$J34,
  INDEX('User-Product'!$B$2:$J$43, MATCH(AM$1, 'User-Product'!$A$2:$A$43, 0), 0)
)</f>
        <v>0</v>
      </c>
      <c r="AN34" s="51">
        <f t="array" ref="AN34">SUMPRODUCT(
  'User-Product'!$B34:$J34,
  INDEX('User-Product'!$B$2:$J$43, MATCH(AN$1, 'User-Product'!$A$2:$A$43, 0), 0)
)</f>
        <v>3</v>
      </c>
      <c r="AO34" s="51">
        <f t="array" ref="AO34">SUMPRODUCT(
  'User-Product'!$B34:$J34,
  INDEX('User-Product'!$B$2:$J$43, MATCH(AO$1, 'User-Product'!$A$2:$A$43, 0), 0)
)</f>
        <v>1</v>
      </c>
      <c r="AP34" s="51">
        <f t="array" ref="AP34">SUMPRODUCT(
  'User-Product'!$B34:$J34,
  INDEX('User-Product'!$B$2:$J$43, MATCH(AP$1, 'User-Product'!$A$2:$A$43, 0), 0)
)</f>
        <v>0</v>
      </c>
      <c r="AQ34" s="51">
        <f t="array" ref="AQ34">SUMPRODUCT(
  'User-Product'!$B34:$J34,
  INDEX('User-Product'!$B$2:$J$43, MATCH(AQ$1, 'User-Product'!$A$2:$A$43, 0), 0)
)</f>
        <v>3</v>
      </c>
      <c r="AR34" s="51"/>
      <c r="AS34" s="51"/>
      <c r="AT34" s="51"/>
      <c r="AU34" s="51"/>
      <c r="AV34" s="51"/>
      <c r="AW34" s="51"/>
      <c r="AX34" s="51"/>
      <c r="AY34" s="51"/>
    </row>
    <row r="35">
      <c r="A35" s="52" t="s">
        <v>95</v>
      </c>
      <c r="B35" s="51">
        <f t="array" ref="B35">SUMPRODUCT(
  'User-Product'!$B35:$J35,
  INDEX('User-Product'!$B$2:$J$43, MATCH(B$1, 'User-Product'!$A$2:$A$43, 0), 0)
)</f>
        <v>1</v>
      </c>
      <c r="C35" s="51">
        <f t="array" ref="C35">SUMPRODUCT(
  'User-Product'!$B35:$J35,
  INDEX('User-Product'!$B$2:$J$43, MATCH(C$1, 'User-Product'!$A$2:$A$43, 0), 0)
)</f>
        <v>1</v>
      </c>
      <c r="D35" s="51">
        <f t="array" ref="D35">SUMPRODUCT(
  'User-Product'!$B35:$J35,
  INDEX('User-Product'!$B$2:$J$43, MATCH(D$1, 'User-Product'!$A$2:$A$43, 0), 0)
)</f>
        <v>0</v>
      </c>
      <c r="E35" s="51">
        <f t="array" ref="E35">SUMPRODUCT(
  'User-Product'!$B35:$J35,
  INDEX('User-Product'!$B$2:$J$43, MATCH(E$1, 'User-Product'!$A$2:$A$43, 0), 0)
)</f>
        <v>1</v>
      </c>
      <c r="F35" s="51">
        <f t="array" ref="F35">SUMPRODUCT(
  'User-Product'!$B35:$J35,
  INDEX('User-Product'!$B$2:$J$43, MATCH(F$1, 'User-Product'!$A$2:$A$43, 0), 0)
)</f>
        <v>3</v>
      </c>
      <c r="G35" s="51">
        <f t="array" ref="G35">SUMPRODUCT(
  'User-Product'!$B35:$J35,
  INDEX('User-Product'!$B$2:$J$43, MATCH(G$1, 'User-Product'!$A$2:$A$43, 0), 0)
)</f>
        <v>1</v>
      </c>
      <c r="H35" s="51">
        <f t="array" ref="H35">SUMPRODUCT(
  'User-Product'!$B35:$J35,
  INDEX('User-Product'!$B$2:$J$43, MATCH(H$1, 'User-Product'!$A$2:$A$43, 0), 0)
)</f>
        <v>2</v>
      </c>
      <c r="I35" s="51">
        <f t="array" ref="I35">SUMPRODUCT(
  'User-Product'!$B35:$J35,
  INDEX('User-Product'!$B$2:$J$43, MATCH(I$1, 'User-Product'!$A$2:$A$43, 0), 0)
)</f>
        <v>1</v>
      </c>
      <c r="J35" s="51">
        <f t="array" ref="J35">SUMPRODUCT(
  'User-Product'!$B35:$J35,
  INDEX('User-Product'!$B$2:$J$43, MATCH(J$1, 'User-Product'!$A$2:$A$43, 0), 0)
)</f>
        <v>3</v>
      </c>
      <c r="K35" s="51">
        <f t="array" ref="K35">SUMPRODUCT(
  'User-Product'!$B35:$J35,
  INDEX('User-Product'!$B$2:$J$43, MATCH(K$1, 'User-Product'!$A$2:$A$43, 0), 0)
)</f>
        <v>2</v>
      </c>
      <c r="L35" s="51">
        <f t="array" ref="L35">SUMPRODUCT(
  'User-Product'!$B35:$J35,
  INDEX('User-Product'!$B$2:$J$43, MATCH(L$1, 'User-Product'!$A$2:$A$43, 0), 0)
)</f>
        <v>0</v>
      </c>
      <c r="M35" s="51">
        <f t="array" ref="M35">SUMPRODUCT(
  'User-Product'!$B35:$J35,
  INDEX('User-Product'!$B$2:$J$43, MATCH(M$1, 'User-Product'!$A$2:$A$43, 0), 0)
)</f>
        <v>0</v>
      </c>
      <c r="N35" s="51">
        <f t="array" ref="N35">SUMPRODUCT(
  'User-Product'!$B35:$J35,
  INDEX('User-Product'!$B$2:$J$43, MATCH(N$1, 'User-Product'!$A$2:$A$43, 0), 0)
)</f>
        <v>0</v>
      </c>
      <c r="O35" s="51">
        <f t="array" ref="O35">SUMPRODUCT(
  'User-Product'!$B35:$J35,
  INDEX('User-Product'!$B$2:$J$43, MATCH(O$1, 'User-Product'!$A$2:$A$43, 0), 0)
)</f>
        <v>2</v>
      </c>
      <c r="P35" s="51">
        <f t="array" ref="P35">SUMPRODUCT(
  'User-Product'!$B35:$J35,
  INDEX('User-Product'!$B$2:$J$43, MATCH(P$1, 'User-Product'!$A$2:$A$43, 0), 0)
)</f>
        <v>1</v>
      </c>
      <c r="Q35" s="51">
        <f t="array" ref="Q35">SUMPRODUCT(
  'User-Product'!$B35:$J35,
  INDEX('User-Product'!$B$2:$J$43, MATCH(Q$1, 'User-Product'!$A$2:$A$43, 0), 0)
)</f>
        <v>0</v>
      </c>
      <c r="R35" s="51">
        <f t="array" ref="R35">SUMPRODUCT(
  'User-Product'!$B35:$J35,
  INDEX('User-Product'!$B$2:$J$43, MATCH(R$1, 'User-Product'!$A$2:$A$43, 0), 0)
)</f>
        <v>0</v>
      </c>
      <c r="S35" s="51">
        <f t="array" ref="S35">SUMPRODUCT(
  'User-Product'!$B35:$J35,
  INDEX('User-Product'!$B$2:$J$43, MATCH(S$1, 'User-Product'!$A$2:$A$43, 0), 0)
)</f>
        <v>1</v>
      </c>
      <c r="T35" s="51">
        <f t="array" ref="T35">SUMPRODUCT(
  'User-Product'!$B35:$J35,
  INDEX('User-Product'!$B$2:$J$43, MATCH(T$1, 'User-Product'!$A$2:$A$43, 0), 0)
)</f>
        <v>2</v>
      </c>
      <c r="U35" s="51">
        <f t="array" ref="U35">SUMPRODUCT(
  'User-Product'!$B35:$J35,
  INDEX('User-Product'!$B$2:$J$43, MATCH(U$1, 'User-Product'!$A$2:$A$43, 0), 0)
)</f>
        <v>2</v>
      </c>
      <c r="V35" s="51">
        <f t="array" ref="V35">SUMPRODUCT(
  'User-Product'!$B35:$J35,
  INDEX('User-Product'!$B$2:$J$43, MATCH(V$1, 'User-Product'!$A$2:$A$43, 0), 0)
)</f>
        <v>0</v>
      </c>
      <c r="W35" s="51">
        <f t="array" ref="W35">SUMPRODUCT(
  'User-Product'!$B35:$J35,
  INDEX('User-Product'!$B$2:$J$43, MATCH(W$1, 'User-Product'!$A$2:$A$43, 0), 0)
)</f>
        <v>0</v>
      </c>
      <c r="X35" s="51">
        <f t="array" ref="X35">SUMPRODUCT(
  'User-Product'!$B35:$J35,
  INDEX('User-Product'!$B$2:$J$43, MATCH(X$1, 'User-Product'!$A$2:$A$43, 0), 0)
)</f>
        <v>0</v>
      </c>
      <c r="Y35" s="51">
        <f t="array" ref="Y35">SUMPRODUCT(
  'User-Product'!$B35:$J35,
  INDEX('User-Product'!$B$2:$J$43, MATCH(Y$1, 'User-Product'!$A$2:$A$43, 0), 0)
)</f>
        <v>2</v>
      </c>
      <c r="Z35" s="51">
        <f t="array" ref="Z35">SUMPRODUCT(
  'User-Product'!$B35:$J35,
  INDEX('User-Product'!$B$2:$J$43, MATCH(Z$1, 'User-Product'!$A$2:$A$43, 0), 0)
)</f>
        <v>0</v>
      </c>
      <c r="AA35" s="51">
        <f t="array" ref="AA35">SUMPRODUCT(
  'User-Product'!$B35:$J35,
  INDEX('User-Product'!$B$2:$J$43, MATCH(AA$1, 'User-Product'!$A$2:$A$43, 0), 0)
)</f>
        <v>0</v>
      </c>
      <c r="AB35" s="51">
        <f t="array" ref="AB35">SUMPRODUCT(
  'User-Product'!$B35:$J35,
  INDEX('User-Product'!$B$2:$J$43, MATCH(AB$1, 'User-Product'!$A$2:$A$43, 0), 0)
)</f>
        <v>2</v>
      </c>
      <c r="AC35" s="51">
        <f t="array" ref="AC35">SUMPRODUCT(
  'User-Product'!$B35:$J35,
  INDEX('User-Product'!$B$2:$J$43, MATCH(AC$1, 'User-Product'!$A$2:$A$43, 0), 0)
)</f>
        <v>0</v>
      </c>
      <c r="AD35" s="51">
        <f t="array" ref="AD35">SUMPRODUCT(
  'User-Product'!$B35:$J35,
  INDEX('User-Product'!$B$2:$J$43, MATCH(AD$1, 'User-Product'!$A$2:$A$43, 0), 0)
)</f>
        <v>2</v>
      </c>
      <c r="AE35" s="51">
        <f t="array" ref="AE35">SUMPRODUCT(
  'User-Product'!$B35:$J35,
  INDEX('User-Product'!$B$2:$J$43, MATCH(AE$1, 'User-Product'!$A$2:$A$43, 0), 0)
)</f>
        <v>1</v>
      </c>
      <c r="AF35" s="51">
        <f t="array" ref="AF35">SUMPRODUCT(
  'User-Product'!$B35:$J35,
  INDEX('User-Product'!$B$2:$J$43, MATCH(AF$1, 'User-Product'!$A$2:$A$43, 0), 0)
)</f>
        <v>3</v>
      </c>
      <c r="AG35" s="51">
        <f t="array" ref="AG35">SUMPRODUCT(
  'User-Product'!$B35:$J35,
  INDEX('User-Product'!$B$2:$J$43, MATCH(AG$1, 'User-Product'!$A$2:$A$43, 0), 0)
)</f>
        <v>1</v>
      </c>
      <c r="AH35" s="51">
        <f t="array" ref="AH35">SUMPRODUCT(
  'User-Product'!$B35:$J35,
  INDEX('User-Product'!$B$2:$J$43, MATCH(AH$1, 'User-Product'!$A$2:$A$43, 0), 0)
)</f>
        <v>3</v>
      </c>
      <c r="AI35" s="51">
        <f t="array" ref="AI35">SUMPRODUCT(
  'User-Product'!$B35:$J35,
  INDEX('User-Product'!$B$2:$J$43, MATCH(AI$1, 'User-Product'!$A$2:$A$43, 0), 0)
)</f>
        <v>3</v>
      </c>
      <c r="AJ35" s="51">
        <f t="array" ref="AJ35">SUMPRODUCT(
  'User-Product'!$B35:$J35,
  INDEX('User-Product'!$B$2:$J$43, MATCH(AJ$1, 'User-Product'!$A$2:$A$43, 0), 0)
)</f>
        <v>1</v>
      </c>
      <c r="AK35" s="51">
        <f t="array" ref="AK35">SUMPRODUCT(
  'User-Product'!$B35:$J35,
  INDEX('User-Product'!$B$2:$J$43, MATCH(AK$1, 'User-Product'!$A$2:$A$43, 0), 0)
)</f>
        <v>0</v>
      </c>
      <c r="AL35" s="51">
        <f t="array" ref="AL35">SUMPRODUCT(
  'User-Product'!$B35:$J35,
  INDEX('User-Product'!$B$2:$J$43, MATCH(AL$1, 'User-Product'!$A$2:$A$43, 0), 0)
)</f>
        <v>1</v>
      </c>
      <c r="AM35" s="51">
        <f t="array" ref="AM35">SUMPRODUCT(
  'User-Product'!$B35:$J35,
  INDEX('User-Product'!$B$2:$J$43, MATCH(AM$1, 'User-Product'!$A$2:$A$43, 0), 0)
)</f>
        <v>0</v>
      </c>
      <c r="AN35" s="51">
        <f t="array" ref="AN35">SUMPRODUCT(
  'User-Product'!$B35:$J35,
  INDEX('User-Product'!$B$2:$J$43, MATCH(AN$1, 'User-Product'!$A$2:$A$43, 0), 0)
)</f>
        <v>3</v>
      </c>
      <c r="AO35" s="51">
        <f t="array" ref="AO35">SUMPRODUCT(
  'User-Product'!$B35:$J35,
  INDEX('User-Product'!$B$2:$J$43, MATCH(AO$1, 'User-Product'!$A$2:$A$43, 0), 0)
)</f>
        <v>1</v>
      </c>
      <c r="AP35" s="51">
        <f t="array" ref="AP35">SUMPRODUCT(
  'User-Product'!$B35:$J35,
  INDEX('User-Product'!$B$2:$J$43, MATCH(AP$1, 'User-Product'!$A$2:$A$43, 0), 0)
)</f>
        <v>0</v>
      </c>
      <c r="AQ35" s="51">
        <f t="array" ref="AQ35">SUMPRODUCT(
  'User-Product'!$B35:$J35,
  INDEX('User-Product'!$B$2:$J$43, MATCH(AQ$1, 'User-Product'!$A$2:$A$43, 0), 0)
)</f>
        <v>3</v>
      </c>
      <c r="AR35" s="51"/>
      <c r="AS35" s="51"/>
      <c r="AT35" s="51"/>
      <c r="AU35" s="51"/>
      <c r="AV35" s="51"/>
      <c r="AW35" s="51"/>
      <c r="AX35" s="51"/>
      <c r="AY35" s="51"/>
    </row>
    <row r="36">
      <c r="A36" s="52" t="s">
        <v>96</v>
      </c>
      <c r="B36" s="51">
        <f t="array" ref="B36">SUMPRODUCT(
  'User-Product'!$B36:$J36,
  INDEX('User-Product'!$B$2:$J$43, MATCH(B$1, 'User-Product'!$A$2:$A$43, 0), 0)
)</f>
        <v>0</v>
      </c>
      <c r="C36" s="51">
        <f t="array" ref="C36">SUMPRODUCT(
  'User-Product'!$B36:$J36,
  INDEX('User-Product'!$B$2:$J$43, MATCH(C$1, 'User-Product'!$A$2:$A$43, 0), 0)
)</f>
        <v>0</v>
      </c>
      <c r="D36" s="51">
        <f t="array" ref="D36">SUMPRODUCT(
  'User-Product'!$B36:$J36,
  INDEX('User-Product'!$B$2:$J$43, MATCH(D$1, 'User-Product'!$A$2:$A$43, 0), 0)
)</f>
        <v>0</v>
      </c>
      <c r="E36" s="51">
        <f t="array" ref="E36">SUMPRODUCT(
  'User-Product'!$B36:$J36,
  INDEX('User-Product'!$B$2:$J$43, MATCH(E$1, 'User-Product'!$A$2:$A$43, 0), 0)
)</f>
        <v>1</v>
      </c>
      <c r="F36" s="51">
        <f t="array" ref="F36">SUMPRODUCT(
  'User-Product'!$B36:$J36,
  INDEX('User-Product'!$B$2:$J$43, MATCH(F$1, 'User-Product'!$A$2:$A$43, 0), 0)
)</f>
        <v>1</v>
      </c>
      <c r="G36" s="51">
        <f t="array" ref="G36">SUMPRODUCT(
  'User-Product'!$B36:$J36,
  INDEX('User-Product'!$B$2:$J$43, MATCH(G$1, 'User-Product'!$A$2:$A$43, 0), 0)
)</f>
        <v>0</v>
      </c>
      <c r="H36" s="51">
        <f t="array" ref="H36">SUMPRODUCT(
  'User-Product'!$B36:$J36,
  INDEX('User-Product'!$B$2:$J$43, MATCH(H$1, 'User-Product'!$A$2:$A$43, 0), 0)
)</f>
        <v>1</v>
      </c>
      <c r="I36" s="51">
        <f t="array" ref="I36">SUMPRODUCT(
  'User-Product'!$B36:$J36,
  INDEX('User-Product'!$B$2:$J$43, MATCH(I$1, 'User-Product'!$A$2:$A$43, 0), 0)
)</f>
        <v>1</v>
      </c>
      <c r="J36" s="51">
        <f t="array" ref="J36">SUMPRODUCT(
  'User-Product'!$B36:$J36,
  INDEX('User-Product'!$B$2:$J$43, MATCH(J$1, 'User-Product'!$A$2:$A$43, 0), 0)
)</f>
        <v>1</v>
      </c>
      <c r="K36" s="51">
        <f t="array" ref="K36">SUMPRODUCT(
  'User-Product'!$B36:$J36,
  INDEX('User-Product'!$B$2:$J$43, MATCH(K$1, 'User-Product'!$A$2:$A$43, 0), 0)
)</f>
        <v>0</v>
      </c>
      <c r="L36" s="51">
        <f t="array" ref="L36">SUMPRODUCT(
  'User-Product'!$B36:$J36,
  INDEX('User-Product'!$B$2:$J$43, MATCH(L$1, 'User-Product'!$A$2:$A$43, 0), 0)
)</f>
        <v>0</v>
      </c>
      <c r="M36" s="51">
        <f t="array" ref="M36">SUMPRODUCT(
  'User-Product'!$B36:$J36,
  INDEX('User-Product'!$B$2:$J$43, MATCH(M$1, 'User-Product'!$A$2:$A$43, 0), 0)
)</f>
        <v>0</v>
      </c>
      <c r="N36" s="51">
        <f t="array" ref="N36">SUMPRODUCT(
  'User-Product'!$B36:$J36,
  INDEX('User-Product'!$B$2:$J$43, MATCH(N$1, 'User-Product'!$A$2:$A$43, 0), 0)
)</f>
        <v>0</v>
      </c>
      <c r="O36" s="51">
        <f t="array" ref="O36">SUMPRODUCT(
  'User-Product'!$B36:$J36,
  INDEX('User-Product'!$B$2:$J$43, MATCH(O$1, 'User-Product'!$A$2:$A$43, 0), 0)
)</f>
        <v>0</v>
      </c>
      <c r="P36" s="51">
        <f t="array" ref="P36">SUMPRODUCT(
  'User-Product'!$B36:$J36,
  INDEX('User-Product'!$B$2:$J$43, MATCH(P$1, 'User-Product'!$A$2:$A$43, 0), 0)
)</f>
        <v>1</v>
      </c>
      <c r="Q36" s="51">
        <f t="array" ref="Q36">SUMPRODUCT(
  'User-Product'!$B36:$J36,
  INDEX('User-Product'!$B$2:$J$43, MATCH(Q$1, 'User-Product'!$A$2:$A$43, 0), 0)
)</f>
        <v>0</v>
      </c>
      <c r="R36" s="51">
        <f t="array" ref="R36">SUMPRODUCT(
  'User-Product'!$B36:$J36,
  INDEX('User-Product'!$B$2:$J$43, MATCH(R$1, 'User-Product'!$A$2:$A$43, 0), 0)
)</f>
        <v>0</v>
      </c>
      <c r="S36" s="51">
        <f t="array" ref="S36">SUMPRODUCT(
  'User-Product'!$B36:$J36,
  INDEX('User-Product'!$B$2:$J$43, MATCH(S$1, 'User-Product'!$A$2:$A$43, 0), 0)
)</f>
        <v>1</v>
      </c>
      <c r="T36" s="51">
        <f t="array" ref="T36">SUMPRODUCT(
  'User-Product'!$B36:$J36,
  INDEX('User-Product'!$B$2:$J$43, MATCH(T$1, 'User-Product'!$A$2:$A$43, 0), 0)
)</f>
        <v>1</v>
      </c>
      <c r="U36" s="51">
        <f t="array" ref="U36">SUMPRODUCT(
  'User-Product'!$B36:$J36,
  INDEX('User-Product'!$B$2:$J$43, MATCH(U$1, 'User-Product'!$A$2:$A$43, 0), 0)
)</f>
        <v>1</v>
      </c>
      <c r="V36" s="51">
        <f t="array" ref="V36">SUMPRODUCT(
  'User-Product'!$B36:$J36,
  INDEX('User-Product'!$B$2:$J$43, MATCH(V$1, 'User-Product'!$A$2:$A$43, 0), 0)
)</f>
        <v>0</v>
      </c>
      <c r="W36" s="51">
        <f t="array" ref="W36">SUMPRODUCT(
  'User-Product'!$B36:$J36,
  INDEX('User-Product'!$B$2:$J$43, MATCH(W$1, 'User-Product'!$A$2:$A$43, 0), 0)
)</f>
        <v>0</v>
      </c>
      <c r="X36" s="51">
        <f t="array" ref="X36">SUMPRODUCT(
  'User-Product'!$B36:$J36,
  INDEX('User-Product'!$B$2:$J$43, MATCH(X$1, 'User-Product'!$A$2:$A$43, 0), 0)
)</f>
        <v>0</v>
      </c>
      <c r="Y36" s="51">
        <f t="array" ref="Y36">SUMPRODUCT(
  'User-Product'!$B36:$J36,
  INDEX('User-Product'!$B$2:$J$43, MATCH(Y$1, 'User-Product'!$A$2:$A$43, 0), 0)
)</f>
        <v>0</v>
      </c>
      <c r="Z36" s="51">
        <f t="array" ref="Z36">SUMPRODUCT(
  'User-Product'!$B36:$J36,
  INDEX('User-Product'!$B$2:$J$43, MATCH(Z$1, 'User-Product'!$A$2:$A$43, 0), 0)
)</f>
        <v>0</v>
      </c>
      <c r="AA36" s="51">
        <f t="array" ref="AA36">SUMPRODUCT(
  'User-Product'!$B36:$J36,
  INDEX('User-Product'!$B$2:$J$43, MATCH(AA$1, 'User-Product'!$A$2:$A$43, 0), 0)
)</f>
        <v>0</v>
      </c>
      <c r="AB36" s="51">
        <f t="array" ref="AB36">SUMPRODUCT(
  'User-Product'!$B36:$J36,
  INDEX('User-Product'!$B$2:$J$43, MATCH(AB$1, 'User-Product'!$A$2:$A$43, 0), 0)
)</f>
        <v>0</v>
      </c>
      <c r="AC36" s="51">
        <f t="array" ref="AC36">SUMPRODUCT(
  'User-Product'!$B36:$J36,
  INDEX('User-Product'!$B$2:$J$43, MATCH(AC$1, 'User-Product'!$A$2:$A$43, 0), 0)
)</f>
        <v>0</v>
      </c>
      <c r="AD36" s="51">
        <f t="array" ref="AD36">SUMPRODUCT(
  'User-Product'!$B36:$J36,
  INDEX('User-Product'!$B$2:$J$43, MATCH(AD$1, 'User-Product'!$A$2:$A$43, 0), 0)
)</f>
        <v>1</v>
      </c>
      <c r="AE36" s="51">
        <f t="array" ref="AE36">SUMPRODUCT(
  'User-Product'!$B36:$J36,
  INDEX('User-Product'!$B$2:$J$43, MATCH(AE$1, 'User-Product'!$A$2:$A$43, 0), 0)
)</f>
        <v>0</v>
      </c>
      <c r="AF36" s="51">
        <f t="array" ref="AF36">SUMPRODUCT(
  'User-Product'!$B36:$J36,
  INDEX('User-Product'!$B$2:$J$43, MATCH(AF$1, 'User-Product'!$A$2:$A$43, 0), 0)
)</f>
        <v>1</v>
      </c>
      <c r="AG36" s="51">
        <f t="array" ref="AG36">SUMPRODUCT(
  'User-Product'!$B36:$J36,
  INDEX('User-Product'!$B$2:$J$43, MATCH(AG$1, 'User-Product'!$A$2:$A$43, 0), 0)
)</f>
        <v>1</v>
      </c>
      <c r="AH36" s="51">
        <f t="array" ref="AH36">SUMPRODUCT(
  'User-Product'!$B36:$J36,
  INDEX('User-Product'!$B$2:$J$43, MATCH(AH$1, 'User-Product'!$A$2:$A$43, 0), 0)
)</f>
        <v>1</v>
      </c>
      <c r="AI36" s="51">
        <f t="array" ref="AI36">SUMPRODUCT(
  'User-Product'!$B36:$J36,
  INDEX('User-Product'!$B$2:$J$43, MATCH(AI$1, 'User-Product'!$A$2:$A$43, 0), 0)
)</f>
        <v>1</v>
      </c>
      <c r="AJ36" s="51">
        <f t="array" ref="AJ36">SUMPRODUCT(
  'User-Product'!$B36:$J36,
  INDEX('User-Product'!$B$2:$J$43, MATCH(AJ$1, 'User-Product'!$A$2:$A$43, 0), 0)
)</f>
        <v>1</v>
      </c>
      <c r="AK36" s="51">
        <f t="array" ref="AK36">SUMPRODUCT(
  'User-Product'!$B36:$J36,
  INDEX('User-Product'!$B$2:$J$43, MATCH(AK$1, 'User-Product'!$A$2:$A$43, 0), 0)
)</f>
        <v>0</v>
      </c>
      <c r="AL36" s="51">
        <f t="array" ref="AL36">SUMPRODUCT(
  'User-Product'!$B36:$J36,
  INDEX('User-Product'!$B$2:$J$43, MATCH(AL$1, 'User-Product'!$A$2:$A$43, 0), 0)
)</f>
        <v>0</v>
      </c>
      <c r="AM36" s="51">
        <f t="array" ref="AM36">SUMPRODUCT(
  'User-Product'!$B36:$J36,
  INDEX('User-Product'!$B$2:$J$43, MATCH(AM$1, 'User-Product'!$A$2:$A$43, 0), 0)
)</f>
        <v>0</v>
      </c>
      <c r="AN36" s="51">
        <f t="array" ref="AN36">SUMPRODUCT(
  'User-Product'!$B36:$J36,
  INDEX('User-Product'!$B$2:$J$43, MATCH(AN$1, 'User-Product'!$A$2:$A$43, 0), 0)
)</f>
        <v>1</v>
      </c>
      <c r="AO36" s="51">
        <f t="array" ref="AO36">SUMPRODUCT(
  'User-Product'!$B36:$J36,
  INDEX('User-Product'!$B$2:$J$43, MATCH(AO$1, 'User-Product'!$A$2:$A$43, 0), 0)
)</f>
        <v>1</v>
      </c>
      <c r="AP36" s="51">
        <f t="array" ref="AP36">SUMPRODUCT(
  'User-Product'!$B36:$J36,
  INDEX('User-Product'!$B$2:$J$43, MATCH(AP$1, 'User-Product'!$A$2:$A$43, 0), 0)
)</f>
        <v>0</v>
      </c>
      <c r="AQ36" s="51">
        <f t="array" ref="AQ36">SUMPRODUCT(
  'User-Product'!$B36:$J36,
  INDEX('User-Product'!$B$2:$J$43, MATCH(AQ$1, 'User-Product'!$A$2:$A$43, 0), 0)
)</f>
        <v>1</v>
      </c>
      <c r="AR36" s="51"/>
      <c r="AS36" s="51"/>
      <c r="AT36" s="51"/>
      <c r="AU36" s="51"/>
      <c r="AV36" s="51"/>
      <c r="AW36" s="51"/>
      <c r="AX36" s="51"/>
      <c r="AY36" s="51"/>
    </row>
    <row r="37">
      <c r="A37" s="52" t="s">
        <v>97</v>
      </c>
      <c r="B37" s="51">
        <f t="array" ref="B37">SUMPRODUCT(
  'User-Product'!$B37:$J37,
  INDEX('User-Product'!$B$2:$J$43, MATCH(B$1, 'User-Product'!$A$2:$A$43, 0), 0)
)</f>
        <v>1</v>
      </c>
      <c r="C37" s="51">
        <f t="array" ref="C37">SUMPRODUCT(
  'User-Product'!$B37:$J37,
  INDEX('User-Product'!$B$2:$J$43, MATCH(C$1, 'User-Product'!$A$2:$A$43, 0), 0)
)</f>
        <v>1</v>
      </c>
      <c r="D37" s="51">
        <f t="array" ref="D37">SUMPRODUCT(
  'User-Product'!$B37:$J37,
  INDEX('User-Product'!$B$2:$J$43, MATCH(D$1, 'User-Product'!$A$2:$A$43, 0), 0)
)</f>
        <v>0</v>
      </c>
      <c r="E37" s="51">
        <f t="array" ref="E37">SUMPRODUCT(
  'User-Product'!$B37:$J37,
  INDEX('User-Product'!$B$2:$J$43, MATCH(E$1, 'User-Product'!$A$2:$A$43, 0), 0)
)</f>
        <v>0</v>
      </c>
      <c r="F37" s="51">
        <f t="array" ref="F37">SUMPRODUCT(
  'User-Product'!$B37:$J37,
  INDEX('User-Product'!$B$2:$J$43, MATCH(F$1, 'User-Product'!$A$2:$A$43, 0), 0)
)</f>
        <v>1</v>
      </c>
      <c r="G37" s="51">
        <f t="array" ref="G37">SUMPRODUCT(
  'User-Product'!$B37:$J37,
  INDEX('User-Product'!$B$2:$J$43, MATCH(G$1, 'User-Product'!$A$2:$A$43, 0), 0)
)</f>
        <v>0</v>
      </c>
      <c r="H37" s="51">
        <f t="array" ref="H37">SUMPRODUCT(
  'User-Product'!$B37:$J37,
  INDEX('User-Product'!$B$2:$J$43, MATCH(H$1, 'User-Product'!$A$2:$A$43, 0), 0)
)</f>
        <v>1</v>
      </c>
      <c r="I37" s="51">
        <f t="array" ref="I37">SUMPRODUCT(
  'User-Product'!$B37:$J37,
  INDEX('User-Product'!$B$2:$J$43, MATCH(I$1, 'User-Product'!$A$2:$A$43, 0), 0)
)</f>
        <v>1</v>
      </c>
      <c r="J37" s="51">
        <f t="array" ref="J37">SUMPRODUCT(
  'User-Product'!$B37:$J37,
  INDEX('User-Product'!$B$2:$J$43, MATCH(J$1, 'User-Product'!$A$2:$A$43, 0), 0)
)</f>
        <v>0</v>
      </c>
      <c r="K37" s="51">
        <f t="array" ref="K37">SUMPRODUCT(
  'User-Product'!$B37:$J37,
  INDEX('User-Product'!$B$2:$J$43, MATCH(K$1, 'User-Product'!$A$2:$A$43, 0), 0)
)</f>
        <v>0</v>
      </c>
      <c r="L37" s="51">
        <f t="array" ref="L37">SUMPRODUCT(
  'User-Product'!$B37:$J37,
  INDEX('User-Product'!$B$2:$J$43, MATCH(L$1, 'User-Product'!$A$2:$A$43, 0), 0)
)</f>
        <v>0</v>
      </c>
      <c r="M37" s="51">
        <f t="array" ref="M37">SUMPRODUCT(
  'User-Product'!$B37:$J37,
  INDEX('User-Product'!$B$2:$J$43, MATCH(M$1, 'User-Product'!$A$2:$A$43, 0), 0)
)</f>
        <v>1</v>
      </c>
      <c r="N37" s="51">
        <f t="array" ref="N37">SUMPRODUCT(
  'User-Product'!$B37:$J37,
  INDEX('User-Product'!$B$2:$J$43, MATCH(N$1, 'User-Product'!$A$2:$A$43, 0), 0)
)</f>
        <v>0</v>
      </c>
      <c r="O37" s="51">
        <f t="array" ref="O37">SUMPRODUCT(
  'User-Product'!$B37:$J37,
  INDEX('User-Product'!$B$2:$J$43, MATCH(O$1, 'User-Product'!$A$2:$A$43, 0), 0)
)</f>
        <v>0</v>
      </c>
      <c r="P37" s="51">
        <f t="array" ref="P37">SUMPRODUCT(
  'User-Product'!$B37:$J37,
  INDEX('User-Product'!$B$2:$J$43, MATCH(P$1, 'User-Product'!$A$2:$A$43, 0), 0)
)</f>
        <v>0</v>
      </c>
      <c r="Q37" s="51">
        <f t="array" ref="Q37">SUMPRODUCT(
  'User-Product'!$B37:$J37,
  INDEX('User-Product'!$B$2:$J$43, MATCH(Q$1, 'User-Product'!$A$2:$A$43, 0), 0)
)</f>
        <v>0</v>
      </c>
      <c r="R37" s="51">
        <f t="array" ref="R37">SUMPRODUCT(
  'User-Product'!$B37:$J37,
  INDEX('User-Product'!$B$2:$J$43, MATCH(R$1, 'User-Product'!$A$2:$A$43, 0), 0)
)</f>
        <v>0</v>
      </c>
      <c r="S37" s="51">
        <f t="array" ref="S37">SUMPRODUCT(
  'User-Product'!$B37:$J37,
  INDEX('User-Product'!$B$2:$J$43, MATCH(S$1, 'User-Product'!$A$2:$A$43, 0), 0)
)</f>
        <v>1</v>
      </c>
      <c r="T37" s="51">
        <f t="array" ref="T37">SUMPRODUCT(
  'User-Product'!$B37:$J37,
  INDEX('User-Product'!$B$2:$J$43, MATCH(T$1, 'User-Product'!$A$2:$A$43, 0), 0)
)</f>
        <v>1</v>
      </c>
      <c r="U37" s="51">
        <f t="array" ref="U37">SUMPRODUCT(
  'User-Product'!$B37:$J37,
  INDEX('User-Product'!$B$2:$J$43, MATCH(U$1, 'User-Product'!$A$2:$A$43, 0), 0)
)</f>
        <v>1</v>
      </c>
      <c r="V37" s="51">
        <f t="array" ref="V37">SUMPRODUCT(
  'User-Product'!$B37:$J37,
  INDEX('User-Product'!$B$2:$J$43, MATCH(V$1, 'User-Product'!$A$2:$A$43, 0), 0)
)</f>
        <v>0</v>
      </c>
      <c r="W37" s="51">
        <f t="array" ref="W37">SUMPRODUCT(
  'User-Product'!$B37:$J37,
  INDEX('User-Product'!$B$2:$J$43, MATCH(W$1, 'User-Product'!$A$2:$A$43, 0), 0)
)</f>
        <v>1</v>
      </c>
      <c r="X37" s="51">
        <f t="array" ref="X37">SUMPRODUCT(
  'User-Product'!$B37:$J37,
  INDEX('User-Product'!$B$2:$J$43, MATCH(X$1, 'User-Product'!$A$2:$A$43, 0), 0)
)</f>
        <v>1</v>
      </c>
      <c r="Y37" s="51">
        <f t="array" ref="Y37">SUMPRODUCT(
  'User-Product'!$B37:$J37,
  INDEX('User-Product'!$B$2:$J$43, MATCH(Y$1, 'User-Product'!$A$2:$A$43, 0), 0)
)</f>
        <v>0</v>
      </c>
      <c r="Z37" s="51">
        <f t="array" ref="Z37">SUMPRODUCT(
  'User-Product'!$B37:$J37,
  INDEX('User-Product'!$B$2:$J$43, MATCH(Z$1, 'User-Product'!$A$2:$A$43, 0), 0)
)</f>
        <v>1</v>
      </c>
      <c r="AA37" s="51">
        <f t="array" ref="AA37">SUMPRODUCT(
  'User-Product'!$B37:$J37,
  INDEX('User-Product'!$B$2:$J$43, MATCH(AA$1, 'User-Product'!$A$2:$A$43, 0), 0)
)</f>
        <v>1</v>
      </c>
      <c r="AB37" s="51">
        <f t="array" ref="AB37">SUMPRODUCT(
  'User-Product'!$B37:$J37,
  INDEX('User-Product'!$B$2:$J$43, MATCH(AB$1, 'User-Product'!$A$2:$A$43, 0), 0)
)</f>
        <v>1</v>
      </c>
      <c r="AC37" s="51">
        <f t="array" ref="AC37">SUMPRODUCT(
  'User-Product'!$B37:$J37,
  INDEX('User-Product'!$B$2:$J$43, MATCH(AC$1, 'User-Product'!$A$2:$A$43, 0), 0)
)</f>
        <v>1</v>
      </c>
      <c r="AD37" s="51">
        <f t="array" ref="AD37">SUMPRODUCT(
  'User-Product'!$B37:$J37,
  INDEX('User-Product'!$B$2:$J$43, MATCH(AD$1, 'User-Product'!$A$2:$A$43, 0), 0)
)</f>
        <v>0</v>
      </c>
      <c r="AE37" s="51">
        <f t="array" ref="AE37">SUMPRODUCT(
  'User-Product'!$B37:$J37,
  INDEX('User-Product'!$B$2:$J$43, MATCH(AE$1, 'User-Product'!$A$2:$A$43, 0), 0)
)</f>
        <v>1</v>
      </c>
      <c r="AF37" s="51">
        <f t="array" ref="AF37">SUMPRODUCT(
  'User-Product'!$B37:$J37,
  INDEX('User-Product'!$B$2:$J$43, MATCH(AF$1, 'User-Product'!$A$2:$A$43, 0), 0)
)</f>
        <v>1</v>
      </c>
      <c r="AG37" s="51">
        <f t="array" ref="AG37">SUMPRODUCT(
  'User-Product'!$B37:$J37,
  INDEX('User-Product'!$B$2:$J$43, MATCH(AG$1, 'User-Product'!$A$2:$A$43, 0), 0)
)</f>
        <v>0</v>
      </c>
      <c r="AH37" s="51">
        <f t="array" ref="AH37">SUMPRODUCT(
  'User-Product'!$B37:$J37,
  INDEX('User-Product'!$B$2:$J$43, MATCH(AH$1, 'User-Product'!$A$2:$A$43, 0), 0)
)</f>
        <v>0</v>
      </c>
      <c r="AI37" s="51">
        <f t="array" ref="AI37">SUMPRODUCT(
  'User-Product'!$B37:$J37,
  INDEX('User-Product'!$B$2:$J$43, MATCH(AI$1, 'User-Product'!$A$2:$A$43, 0), 0)
)</f>
        <v>0</v>
      </c>
      <c r="AJ37" s="51">
        <f t="array" ref="AJ37">SUMPRODUCT(
  'User-Product'!$B37:$J37,
  INDEX('User-Product'!$B$2:$J$43, MATCH(AJ$1, 'User-Product'!$A$2:$A$43, 0), 0)
)</f>
        <v>0</v>
      </c>
      <c r="AK37" s="51">
        <f t="array" ref="AK37">SUMPRODUCT(
  'User-Product'!$B37:$J37,
  INDEX('User-Product'!$B$2:$J$43, MATCH(AK$1, 'User-Product'!$A$2:$A$43, 0), 0)
)</f>
        <v>1</v>
      </c>
      <c r="AL37" s="51">
        <f t="array" ref="AL37">SUMPRODUCT(
  'User-Product'!$B37:$J37,
  INDEX('User-Product'!$B$2:$J$43, MATCH(AL$1, 'User-Product'!$A$2:$A$43, 0), 0)
)</f>
        <v>1</v>
      </c>
      <c r="AM37" s="51">
        <f t="array" ref="AM37">SUMPRODUCT(
  'User-Product'!$B37:$J37,
  INDEX('User-Product'!$B$2:$J$43, MATCH(AM$1, 'User-Product'!$A$2:$A$43, 0), 0)
)</f>
        <v>1</v>
      </c>
      <c r="AN37" s="51">
        <f t="array" ref="AN37">SUMPRODUCT(
  'User-Product'!$B37:$J37,
  INDEX('User-Product'!$B$2:$J$43, MATCH(AN$1, 'User-Product'!$A$2:$A$43, 0), 0)
)</f>
        <v>1</v>
      </c>
      <c r="AO37" s="51">
        <f t="array" ref="AO37">SUMPRODUCT(
  'User-Product'!$B37:$J37,
  INDEX('User-Product'!$B$2:$J$43, MATCH(AO$1, 'User-Product'!$A$2:$A$43, 0), 0)
)</f>
        <v>0</v>
      </c>
      <c r="AP37" s="51">
        <f t="array" ref="AP37">SUMPRODUCT(
  'User-Product'!$B37:$J37,
  INDEX('User-Product'!$B$2:$J$43, MATCH(AP$1, 'User-Product'!$A$2:$A$43, 0), 0)
)</f>
        <v>1</v>
      </c>
      <c r="AQ37" s="51">
        <f t="array" ref="AQ37">SUMPRODUCT(
  'User-Product'!$B37:$J37,
  INDEX('User-Product'!$B$2:$J$43, MATCH(AQ$1, 'User-Product'!$A$2:$A$43, 0), 0)
)</f>
        <v>0</v>
      </c>
      <c r="AR37" s="51"/>
      <c r="AS37" s="51"/>
      <c r="AT37" s="51"/>
      <c r="AU37" s="51"/>
      <c r="AV37" s="51"/>
      <c r="AW37" s="51"/>
      <c r="AX37" s="51"/>
      <c r="AY37" s="51"/>
    </row>
    <row r="38">
      <c r="A38" s="52" t="s">
        <v>98</v>
      </c>
      <c r="B38" s="51">
        <f t="array" ref="B38">SUMPRODUCT(
  'User-Product'!$B38:$J38,
  INDEX('User-Product'!$B$2:$J$43, MATCH(B$1, 'User-Product'!$A$2:$A$43, 0), 0)
)</f>
        <v>3</v>
      </c>
      <c r="C38" s="51">
        <f t="array" ref="C38">SUMPRODUCT(
  'User-Product'!$B38:$J38,
  INDEX('User-Product'!$B$2:$J$43, MATCH(C$1, 'User-Product'!$A$2:$A$43, 0), 0)
)</f>
        <v>2</v>
      </c>
      <c r="D38" s="51">
        <f t="array" ref="D38">SUMPRODUCT(
  'User-Product'!$B38:$J38,
  INDEX('User-Product'!$B$2:$J$43, MATCH(D$1, 'User-Product'!$A$2:$A$43, 0), 0)
)</f>
        <v>1</v>
      </c>
      <c r="E38" s="51">
        <f t="array" ref="E38">SUMPRODUCT(
  'User-Product'!$B38:$J38,
  INDEX('User-Product'!$B$2:$J$43, MATCH(E$1, 'User-Product'!$A$2:$A$43, 0), 0)
)</f>
        <v>0</v>
      </c>
      <c r="F38" s="51">
        <f t="array" ref="F38">SUMPRODUCT(
  'User-Product'!$B38:$J38,
  INDEX('User-Product'!$B$2:$J$43, MATCH(F$1, 'User-Product'!$A$2:$A$43, 0), 0)
)</f>
        <v>5</v>
      </c>
      <c r="G38" s="51">
        <f t="array" ref="G38">SUMPRODUCT(
  'User-Product'!$B38:$J38,
  INDEX('User-Product'!$B$2:$J$43, MATCH(G$1, 'User-Product'!$A$2:$A$43, 0), 0)
)</f>
        <v>1</v>
      </c>
      <c r="H38" s="51">
        <f t="array" ref="H38">SUMPRODUCT(
  'User-Product'!$B38:$J38,
  INDEX('User-Product'!$B$2:$J$43, MATCH(H$1, 'User-Product'!$A$2:$A$43, 0), 0)
)</f>
        <v>3</v>
      </c>
      <c r="I38" s="51">
        <f t="array" ref="I38">SUMPRODUCT(
  'User-Product'!$B38:$J38,
  INDEX('User-Product'!$B$2:$J$43, MATCH(I$1, 'User-Product'!$A$2:$A$43, 0), 0)
)</f>
        <v>2</v>
      </c>
      <c r="J38" s="51">
        <f t="array" ref="J38">SUMPRODUCT(
  'User-Product'!$B38:$J38,
  INDEX('User-Product'!$B$2:$J$43, MATCH(J$1, 'User-Product'!$A$2:$A$43, 0), 0)
)</f>
        <v>2</v>
      </c>
      <c r="K38" s="51">
        <f t="array" ref="K38">SUMPRODUCT(
  'User-Product'!$B38:$J38,
  INDEX('User-Product'!$B$2:$J$43, MATCH(K$1, 'User-Product'!$A$2:$A$43, 0), 0)
)</f>
        <v>2</v>
      </c>
      <c r="L38" s="51">
        <f t="array" ref="L38">SUMPRODUCT(
  'User-Product'!$B38:$J38,
  INDEX('User-Product'!$B$2:$J$43, MATCH(L$1, 'User-Product'!$A$2:$A$43, 0), 0)
)</f>
        <v>1</v>
      </c>
      <c r="M38" s="51">
        <f t="array" ref="M38">SUMPRODUCT(
  'User-Product'!$B38:$J38,
  INDEX('User-Product'!$B$2:$J$43, MATCH(M$1, 'User-Product'!$A$2:$A$43, 0), 0)
)</f>
        <v>1</v>
      </c>
      <c r="N38" s="51">
        <f t="array" ref="N38">SUMPRODUCT(
  'User-Product'!$B38:$J38,
  INDEX('User-Product'!$B$2:$J$43, MATCH(N$1, 'User-Product'!$A$2:$A$43, 0), 0)
)</f>
        <v>1</v>
      </c>
      <c r="O38" s="51">
        <f t="array" ref="O38">SUMPRODUCT(
  'User-Product'!$B38:$J38,
  INDEX('User-Product'!$B$2:$J$43, MATCH(O$1, 'User-Product'!$A$2:$A$43, 0), 0)
)</f>
        <v>1</v>
      </c>
      <c r="P38" s="51">
        <f t="array" ref="P38">SUMPRODUCT(
  'User-Product'!$B38:$J38,
  INDEX('User-Product'!$B$2:$J$43, MATCH(P$1, 'User-Product'!$A$2:$A$43, 0), 0)
)</f>
        <v>1</v>
      </c>
      <c r="Q38" s="51">
        <f t="array" ref="Q38">SUMPRODUCT(
  'User-Product'!$B38:$J38,
  INDEX('User-Product'!$B$2:$J$43, MATCH(Q$1, 'User-Product'!$A$2:$A$43, 0), 0)
)</f>
        <v>0</v>
      </c>
      <c r="R38" s="51">
        <f t="array" ref="R38">SUMPRODUCT(
  'User-Product'!$B38:$J38,
  INDEX('User-Product'!$B$2:$J$43, MATCH(R$1, 'User-Product'!$A$2:$A$43, 0), 0)
)</f>
        <v>1</v>
      </c>
      <c r="S38" s="51">
        <f t="array" ref="S38">SUMPRODUCT(
  'User-Product'!$B38:$J38,
  INDEX('User-Product'!$B$2:$J$43, MATCH(S$1, 'User-Product'!$A$2:$A$43, 0), 0)
)</f>
        <v>1</v>
      </c>
      <c r="T38" s="51">
        <f t="array" ref="T38">SUMPRODUCT(
  'User-Product'!$B38:$J38,
  INDEX('User-Product'!$B$2:$J$43, MATCH(T$1, 'User-Product'!$A$2:$A$43, 0), 0)
)</f>
        <v>4</v>
      </c>
      <c r="U38" s="51">
        <f t="array" ref="U38">SUMPRODUCT(
  'User-Product'!$B38:$J38,
  INDEX('User-Product'!$B$2:$J$43, MATCH(U$1, 'User-Product'!$A$2:$A$43, 0), 0)
)</f>
        <v>1</v>
      </c>
      <c r="V38" s="51">
        <f t="array" ref="V38">SUMPRODUCT(
  'User-Product'!$B38:$J38,
  INDEX('User-Product'!$B$2:$J$43, MATCH(V$1, 'User-Product'!$A$2:$A$43, 0), 0)
)</f>
        <v>1</v>
      </c>
      <c r="W38" s="51">
        <f t="array" ref="W38">SUMPRODUCT(
  'User-Product'!$B38:$J38,
  INDEX('User-Product'!$B$2:$J$43, MATCH(W$1, 'User-Product'!$A$2:$A$43, 0), 0)
)</f>
        <v>1</v>
      </c>
      <c r="X38" s="51">
        <f t="array" ref="X38">SUMPRODUCT(
  'User-Product'!$B38:$J38,
  INDEX('User-Product'!$B$2:$J$43, MATCH(X$1, 'User-Product'!$A$2:$A$43, 0), 0)
)</f>
        <v>1</v>
      </c>
      <c r="Y38" s="51">
        <f t="array" ref="Y38">SUMPRODUCT(
  'User-Product'!$B38:$J38,
  INDEX('User-Product'!$B$2:$J$43, MATCH(Y$1, 'User-Product'!$A$2:$A$43, 0), 0)
)</f>
        <v>2</v>
      </c>
      <c r="Z38" s="51">
        <f t="array" ref="Z38">SUMPRODUCT(
  'User-Product'!$B38:$J38,
  INDEX('User-Product'!$B$2:$J$43, MATCH(Z$1, 'User-Product'!$A$2:$A$43, 0), 0)
)</f>
        <v>1</v>
      </c>
      <c r="AA38" s="51">
        <f t="array" ref="AA38">SUMPRODUCT(
  'User-Product'!$B38:$J38,
  INDEX('User-Product'!$B$2:$J$43, MATCH(AA$1, 'User-Product'!$A$2:$A$43, 0), 0)
)</f>
        <v>1</v>
      </c>
      <c r="AB38" s="51">
        <f t="array" ref="AB38">SUMPRODUCT(
  'User-Product'!$B38:$J38,
  INDEX('User-Product'!$B$2:$J$43, MATCH(AB$1, 'User-Product'!$A$2:$A$43, 0), 0)
)</f>
        <v>5</v>
      </c>
      <c r="AC38" s="51">
        <f t="array" ref="AC38">SUMPRODUCT(
  'User-Product'!$B38:$J38,
  INDEX('User-Product'!$B$2:$J$43, MATCH(AC$1, 'User-Product'!$A$2:$A$43, 0), 0)
)</f>
        <v>3</v>
      </c>
      <c r="AD38" s="51">
        <f t="array" ref="AD38">SUMPRODUCT(
  'User-Product'!$B38:$J38,
  INDEX('User-Product'!$B$2:$J$43, MATCH(AD$1, 'User-Product'!$A$2:$A$43, 0), 0)
)</f>
        <v>1</v>
      </c>
      <c r="AE38" s="51">
        <f t="array" ref="AE38">SUMPRODUCT(
  'User-Product'!$B38:$J38,
  INDEX('User-Product'!$B$2:$J$43, MATCH(AE$1, 'User-Product'!$A$2:$A$43, 0), 0)
)</f>
        <v>3</v>
      </c>
      <c r="AF38" s="51">
        <f t="array" ref="AF38">SUMPRODUCT(
  'User-Product'!$B38:$J38,
  INDEX('User-Product'!$B$2:$J$43, MATCH(AF$1, 'User-Product'!$A$2:$A$43, 0), 0)
)</f>
        <v>5</v>
      </c>
      <c r="AG38" s="51">
        <f t="array" ref="AG38">SUMPRODUCT(
  'User-Product'!$B38:$J38,
  INDEX('User-Product'!$B$2:$J$43, MATCH(AG$1, 'User-Product'!$A$2:$A$43, 0), 0)
)</f>
        <v>0</v>
      </c>
      <c r="AH38" s="51">
        <f t="array" ref="AH38">SUMPRODUCT(
  'User-Product'!$B38:$J38,
  INDEX('User-Product'!$B$2:$J$43, MATCH(AH$1, 'User-Product'!$A$2:$A$43, 0), 0)
)</f>
        <v>1</v>
      </c>
      <c r="AI38" s="51">
        <f t="array" ref="AI38">SUMPRODUCT(
  'User-Product'!$B38:$J38,
  INDEX('User-Product'!$B$2:$J$43, MATCH(AI$1, 'User-Product'!$A$2:$A$43, 0), 0)
)</f>
        <v>1</v>
      </c>
      <c r="AJ38" s="51">
        <f t="array" ref="AJ38">SUMPRODUCT(
  'User-Product'!$B38:$J38,
  INDEX('User-Product'!$B$2:$J$43, MATCH(AJ$1, 'User-Product'!$A$2:$A$43, 0), 0)
)</f>
        <v>0</v>
      </c>
      <c r="AK38" s="51">
        <f t="array" ref="AK38">SUMPRODUCT(
  'User-Product'!$B38:$J38,
  INDEX('User-Product'!$B$2:$J$43, MATCH(AK$1, 'User-Product'!$A$2:$A$43, 0), 0)
)</f>
        <v>1</v>
      </c>
      <c r="AL38" s="51">
        <f t="array" ref="AL38">SUMPRODUCT(
  'User-Product'!$B38:$J38,
  INDEX('User-Product'!$B$2:$J$43, MATCH(AL$1, 'User-Product'!$A$2:$A$43, 0), 0)
)</f>
        <v>5</v>
      </c>
      <c r="AM38" s="51">
        <f t="array" ref="AM38">SUMPRODUCT(
  'User-Product'!$B38:$J38,
  INDEX('User-Product'!$B$2:$J$43, MATCH(AM$1, 'User-Product'!$A$2:$A$43, 0), 0)
)</f>
        <v>1</v>
      </c>
      <c r="AN38" s="51">
        <f t="array" ref="AN38">SUMPRODUCT(
  'User-Product'!$B38:$J38,
  INDEX('User-Product'!$B$2:$J$43, MATCH(AN$1, 'User-Product'!$A$2:$A$43, 0), 0)
)</f>
        <v>3</v>
      </c>
      <c r="AO38" s="51">
        <f t="array" ref="AO38">SUMPRODUCT(
  'User-Product'!$B38:$J38,
  INDEX('User-Product'!$B$2:$J$43, MATCH(AO$1, 'User-Product'!$A$2:$A$43, 0), 0)
)</f>
        <v>0</v>
      </c>
      <c r="AP38" s="51">
        <f t="array" ref="AP38">SUMPRODUCT(
  'User-Product'!$B38:$J38,
  INDEX('User-Product'!$B$2:$J$43, MATCH(AP$1, 'User-Product'!$A$2:$A$43, 0), 0)
)</f>
        <v>3</v>
      </c>
      <c r="AQ38" s="51">
        <f t="array" ref="AQ38">SUMPRODUCT(
  'User-Product'!$B38:$J38,
  INDEX('User-Product'!$B$2:$J$43, MATCH(AQ$1, 'User-Product'!$A$2:$A$43, 0), 0)
)</f>
        <v>3</v>
      </c>
      <c r="AR38" s="51"/>
      <c r="AS38" s="51"/>
      <c r="AT38" s="51"/>
      <c r="AU38" s="51"/>
      <c r="AV38" s="51"/>
      <c r="AW38" s="51"/>
      <c r="AX38" s="51"/>
      <c r="AY38" s="51"/>
    </row>
    <row r="39">
      <c r="A39" s="52" t="s">
        <v>99</v>
      </c>
      <c r="B39" s="51">
        <f t="array" ref="B39">SUMPRODUCT(
  'User-Product'!$B39:$J39,
  INDEX('User-Product'!$B$2:$J$43, MATCH(B$1, 'User-Product'!$A$2:$A$43, 0), 0)
)</f>
        <v>1</v>
      </c>
      <c r="C39" s="51">
        <f t="array" ref="C39">SUMPRODUCT(
  'User-Product'!$B39:$J39,
  INDEX('User-Product'!$B$2:$J$43, MATCH(C$1, 'User-Product'!$A$2:$A$43, 0), 0)
)</f>
        <v>1</v>
      </c>
      <c r="D39" s="51">
        <f t="array" ref="D39">SUMPRODUCT(
  'User-Product'!$B39:$J39,
  INDEX('User-Product'!$B$2:$J$43, MATCH(D$1, 'User-Product'!$A$2:$A$43, 0), 0)
)</f>
        <v>0</v>
      </c>
      <c r="E39" s="51">
        <f t="array" ref="E39">SUMPRODUCT(
  'User-Product'!$B39:$J39,
  INDEX('User-Product'!$B$2:$J$43, MATCH(E$1, 'User-Product'!$A$2:$A$43, 0), 0)
)</f>
        <v>0</v>
      </c>
      <c r="F39" s="51">
        <f t="array" ref="F39">SUMPRODUCT(
  'User-Product'!$B39:$J39,
  INDEX('User-Product'!$B$2:$J$43, MATCH(F$1, 'User-Product'!$A$2:$A$43, 0), 0)
)</f>
        <v>1</v>
      </c>
      <c r="G39" s="51">
        <f t="array" ref="G39">SUMPRODUCT(
  'User-Product'!$B39:$J39,
  INDEX('User-Product'!$B$2:$J$43, MATCH(G$1, 'User-Product'!$A$2:$A$43, 0), 0)
)</f>
        <v>0</v>
      </c>
      <c r="H39" s="51">
        <f t="array" ref="H39">SUMPRODUCT(
  'User-Product'!$B39:$J39,
  INDEX('User-Product'!$B$2:$J$43, MATCH(H$1, 'User-Product'!$A$2:$A$43, 0), 0)
)</f>
        <v>1</v>
      </c>
      <c r="I39" s="51">
        <f t="array" ref="I39">SUMPRODUCT(
  'User-Product'!$B39:$J39,
  INDEX('User-Product'!$B$2:$J$43, MATCH(I$1, 'User-Product'!$A$2:$A$43, 0), 0)
)</f>
        <v>1</v>
      </c>
      <c r="J39" s="51">
        <f t="array" ref="J39">SUMPRODUCT(
  'User-Product'!$B39:$J39,
  INDEX('User-Product'!$B$2:$J$43, MATCH(J$1, 'User-Product'!$A$2:$A$43, 0), 0)
)</f>
        <v>0</v>
      </c>
      <c r="K39" s="51">
        <f t="array" ref="K39">SUMPRODUCT(
  'User-Product'!$B39:$J39,
  INDEX('User-Product'!$B$2:$J$43, MATCH(K$1, 'User-Product'!$A$2:$A$43, 0), 0)
)</f>
        <v>0</v>
      </c>
      <c r="L39" s="51">
        <f t="array" ref="L39">SUMPRODUCT(
  'User-Product'!$B39:$J39,
  INDEX('User-Product'!$B$2:$J$43, MATCH(L$1, 'User-Product'!$A$2:$A$43, 0), 0)
)</f>
        <v>0</v>
      </c>
      <c r="M39" s="51">
        <f t="array" ref="M39">SUMPRODUCT(
  'User-Product'!$B39:$J39,
  INDEX('User-Product'!$B$2:$J$43, MATCH(M$1, 'User-Product'!$A$2:$A$43, 0), 0)
)</f>
        <v>1</v>
      </c>
      <c r="N39" s="51">
        <f t="array" ref="N39">SUMPRODUCT(
  'User-Product'!$B39:$J39,
  INDEX('User-Product'!$B$2:$J$43, MATCH(N$1, 'User-Product'!$A$2:$A$43, 0), 0)
)</f>
        <v>0</v>
      </c>
      <c r="O39" s="51">
        <f t="array" ref="O39">SUMPRODUCT(
  'User-Product'!$B39:$J39,
  INDEX('User-Product'!$B$2:$J$43, MATCH(O$1, 'User-Product'!$A$2:$A$43, 0), 0)
)</f>
        <v>0</v>
      </c>
      <c r="P39" s="51">
        <f t="array" ref="P39">SUMPRODUCT(
  'User-Product'!$B39:$J39,
  INDEX('User-Product'!$B$2:$J$43, MATCH(P$1, 'User-Product'!$A$2:$A$43, 0), 0)
)</f>
        <v>0</v>
      </c>
      <c r="Q39" s="51">
        <f t="array" ref="Q39">SUMPRODUCT(
  'User-Product'!$B39:$J39,
  INDEX('User-Product'!$B$2:$J$43, MATCH(Q$1, 'User-Product'!$A$2:$A$43, 0), 0)
)</f>
        <v>0</v>
      </c>
      <c r="R39" s="51">
        <f t="array" ref="R39">SUMPRODUCT(
  'User-Product'!$B39:$J39,
  INDEX('User-Product'!$B$2:$J$43, MATCH(R$1, 'User-Product'!$A$2:$A$43, 0), 0)
)</f>
        <v>0</v>
      </c>
      <c r="S39" s="51">
        <f t="array" ref="S39">SUMPRODUCT(
  'User-Product'!$B39:$J39,
  INDEX('User-Product'!$B$2:$J$43, MATCH(S$1, 'User-Product'!$A$2:$A$43, 0), 0)
)</f>
        <v>1</v>
      </c>
      <c r="T39" s="51">
        <f t="array" ref="T39">SUMPRODUCT(
  'User-Product'!$B39:$J39,
  INDEX('User-Product'!$B$2:$J$43, MATCH(T$1, 'User-Product'!$A$2:$A$43, 0), 0)
)</f>
        <v>1</v>
      </c>
      <c r="U39" s="51">
        <f t="array" ref="U39">SUMPRODUCT(
  'User-Product'!$B39:$J39,
  INDEX('User-Product'!$B$2:$J$43, MATCH(U$1, 'User-Product'!$A$2:$A$43, 0), 0)
)</f>
        <v>1</v>
      </c>
      <c r="V39" s="51">
        <f t="array" ref="V39">SUMPRODUCT(
  'User-Product'!$B39:$J39,
  INDEX('User-Product'!$B$2:$J$43, MATCH(V$1, 'User-Product'!$A$2:$A$43, 0), 0)
)</f>
        <v>0</v>
      </c>
      <c r="W39" s="51">
        <f t="array" ref="W39">SUMPRODUCT(
  'User-Product'!$B39:$J39,
  INDEX('User-Product'!$B$2:$J$43, MATCH(W$1, 'User-Product'!$A$2:$A$43, 0), 0)
)</f>
        <v>1</v>
      </c>
      <c r="X39" s="51">
        <f t="array" ref="X39">SUMPRODUCT(
  'User-Product'!$B39:$J39,
  INDEX('User-Product'!$B$2:$J$43, MATCH(X$1, 'User-Product'!$A$2:$A$43, 0), 0)
)</f>
        <v>1</v>
      </c>
      <c r="Y39" s="51">
        <f t="array" ref="Y39">SUMPRODUCT(
  'User-Product'!$B39:$J39,
  INDEX('User-Product'!$B$2:$J$43, MATCH(Y$1, 'User-Product'!$A$2:$A$43, 0), 0)
)</f>
        <v>0</v>
      </c>
      <c r="Z39" s="51">
        <f t="array" ref="Z39">SUMPRODUCT(
  'User-Product'!$B39:$J39,
  INDEX('User-Product'!$B$2:$J$43, MATCH(Z$1, 'User-Product'!$A$2:$A$43, 0), 0)
)</f>
        <v>1</v>
      </c>
      <c r="AA39" s="51">
        <f t="array" ref="AA39">SUMPRODUCT(
  'User-Product'!$B39:$J39,
  INDEX('User-Product'!$B$2:$J$43, MATCH(AA$1, 'User-Product'!$A$2:$A$43, 0), 0)
)</f>
        <v>1</v>
      </c>
      <c r="AB39" s="51">
        <f t="array" ref="AB39">SUMPRODUCT(
  'User-Product'!$B39:$J39,
  INDEX('User-Product'!$B$2:$J$43, MATCH(AB$1, 'User-Product'!$A$2:$A$43, 0), 0)
)</f>
        <v>1</v>
      </c>
      <c r="AC39" s="51">
        <f t="array" ref="AC39">SUMPRODUCT(
  'User-Product'!$B39:$J39,
  INDEX('User-Product'!$B$2:$J$43, MATCH(AC$1, 'User-Product'!$A$2:$A$43, 0), 0)
)</f>
        <v>1</v>
      </c>
      <c r="AD39" s="51">
        <f t="array" ref="AD39">SUMPRODUCT(
  'User-Product'!$B39:$J39,
  INDEX('User-Product'!$B$2:$J$43, MATCH(AD$1, 'User-Product'!$A$2:$A$43, 0), 0)
)</f>
        <v>0</v>
      </c>
      <c r="AE39" s="51">
        <f t="array" ref="AE39">SUMPRODUCT(
  'User-Product'!$B39:$J39,
  INDEX('User-Product'!$B$2:$J$43, MATCH(AE$1, 'User-Product'!$A$2:$A$43, 0), 0)
)</f>
        <v>1</v>
      </c>
      <c r="AF39" s="51">
        <f t="array" ref="AF39">SUMPRODUCT(
  'User-Product'!$B39:$J39,
  INDEX('User-Product'!$B$2:$J$43, MATCH(AF$1, 'User-Product'!$A$2:$A$43, 0), 0)
)</f>
        <v>1</v>
      </c>
      <c r="AG39" s="51">
        <f t="array" ref="AG39">SUMPRODUCT(
  'User-Product'!$B39:$J39,
  INDEX('User-Product'!$B$2:$J$43, MATCH(AG$1, 'User-Product'!$A$2:$A$43, 0), 0)
)</f>
        <v>0</v>
      </c>
      <c r="AH39" s="51">
        <f t="array" ref="AH39">SUMPRODUCT(
  'User-Product'!$B39:$J39,
  INDEX('User-Product'!$B$2:$J$43, MATCH(AH$1, 'User-Product'!$A$2:$A$43, 0), 0)
)</f>
        <v>0</v>
      </c>
      <c r="AI39" s="51">
        <f t="array" ref="AI39">SUMPRODUCT(
  'User-Product'!$B39:$J39,
  INDEX('User-Product'!$B$2:$J$43, MATCH(AI$1, 'User-Product'!$A$2:$A$43, 0), 0)
)</f>
        <v>0</v>
      </c>
      <c r="AJ39" s="51">
        <f t="array" ref="AJ39">SUMPRODUCT(
  'User-Product'!$B39:$J39,
  INDEX('User-Product'!$B$2:$J$43, MATCH(AJ$1, 'User-Product'!$A$2:$A$43, 0), 0)
)</f>
        <v>0</v>
      </c>
      <c r="AK39" s="51">
        <f t="array" ref="AK39">SUMPRODUCT(
  'User-Product'!$B39:$J39,
  INDEX('User-Product'!$B$2:$J$43, MATCH(AK$1, 'User-Product'!$A$2:$A$43, 0), 0)
)</f>
        <v>1</v>
      </c>
      <c r="AL39" s="51">
        <f t="array" ref="AL39">SUMPRODUCT(
  'User-Product'!$B39:$J39,
  INDEX('User-Product'!$B$2:$J$43, MATCH(AL$1, 'User-Product'!$A$2:$A$43, 0), 0)
)</f>
        <v>1</v>
      </c>
      <c r="AM39" s="51">
        <f t="array" ref="AM39">SUMPRODUCT(
  'User-Product'!$B39:$J39,
  INDEX('User-Product'!$B$2:$J$43, MATCH(AM$1, 'User-Product'!$A$2:$A$43, 0), 0)
)</f>
        <v>1</v>
      </c>
      <c r="AN39" s="51">
        <f t="array" ref="AN39">SUMPRODUCT(
  'User-Product'!$B39:$J39,
  INDEX('User-Product'!$B$2:$J$43, MATCH(AN$1, 'User-Product'!$A$2:$A$43, 0), 0)
)</f>
        <v>1</v>
      </c>
      <c r="AO39" s="51">
        <f t="array" ref="AO39">SUMPRODUCT(
  'User-Product'!$B39:$J39,
  INDEX('User-Product'!$B$2:$J$43, MATCH(AO$1, 'User-Product'!$A$2:$A$43, 0), 0)
)</f>
        <v>0</v>
      </c>
      <c r="AP39" s="51">
        <f t="array" ref="AP39">SUMPRODUCT(
  'User-Product'!$B39:$J39,
  INDEX('User-Product'!$B$2:$J$43, MATCH(AP$1, 'User-Product'!$A$2:$A$43, 0), 0)
)</f>
        <v>1</v>
      </c>
      <c r="AQ39" s="51">
        <f t="array" ref="AQ39">SUMPRODUCT(
  'User-Product'!$B39:$J39,
  INDEX('User-Product'!$B$2:$J$43, MATCH(AQ$1, 'User-Product'!$A$2:$A$43, 0), 0)
)</f>
        <v>0</v>
      </c>
      <c r="AR39" s="51"/>
      <c r="AS39" s="51"/>
      <c r="AT39" s="51"/>
      <c r="AU39" s="51"/>
      <c r="AV39" s="51"/>
      <c r="AW39" s="51"/>
      <c r="AX39" s="51"/>
      <c r="AY39" s="51"/>
    </row>
    <row r="40">
      <c r="A40" s="52" t="s">
        <v>100</v>
      </c>
      <c r="B40" s="51">
        <f t="array" ref="B40">SUMPRODUCT(
  'User-Product'!$B40:$J40,
  INDEX('User-Product'!$B$2:$J$43, MATCH(B$1, 'User-Product'!$A$2:$A$43, 0), 0)
)</f>
        <v>3</v>
      </c>
      <c r="C40" s="51">
        <f t="array" ref="C40">SUMPRODUCT(
  'User-Product'!$B40:$J40,
  INDEX('User-Product'!$B$2:$J$43, MATCH(C$1, 'User-Product'!$A$2:$A$43, 0), 0)
)</f>
        <v>2</v>
      </c>
      <c r="D40" s="51">
        <f t="array" ref="D40">SUMPRODUCT(
  'User-Product'!$B40:$J40,
  INDEX('User-Product'!$B$2:$J$43, MATCH(D$1, 'User-Product'!$A$2:$A$43, 0), 0)
)</f>
        <v>2</v>
      </c>
      <c r="E40" s="51">
        <f t="array" ref="E40">SUMPRODUCT(
  'User-Product'!$B40:$J40,
  INDEX('User-Product'!$B$2:$J$43, MATCH(E$1, 'User-Product'!$A$2:$A$43, 0), 0)
)</f>
        <v>1</v>
      </c>
      <c r="F40" s="51">
        <f t="array" ref="F40">SUMPRODUCT(
  'User-Product'!$B40:$J40,
  INDEX('User-Product'!$B$2:$J$43, MATCH(F$1, 'User-Product'!$A$2:$A$43, 0), 0)
)</f>
        <v>7</v>
      </c>
      <c r="G40" s="51">
        <f t="array" ref="G40">SUMPRODUCT(
  'User-Product'!$B40:$J40,
  INDEX('User-Product'!$B$2:$J$43, MATCH(G$1, 'User-Product'!$A$2:$A$43, 0), 0)
)</f>
        <v>2</v>
      </c>
      <c r="H40" s="51">
        <f t="array" ref="H40">SUMPRODUCT(
  'User-Product'!$B40:$J40,
  INDEX('User-Product'!$B$2:$J$43, MATCH(H$1, 'User-Product'!$A$2:$A$43, 0), 0)
)</f>
        <v>5</v>
      </c>
      <c r="I40" s="51">
        <f t="array" ref="I40">SUMPRODUCT(
  'User-Product'!$B40:$J40,
  INDEX('User-Product'!$B$2:$J$43, MATCH(I$1, 'User-Product'!$A$2:$A$43, 0), 0)
)</f>
        <v>3</v>
      </c>
      <c r="J40" s="51">
        <f t="array" ref="J40">SUMPRODUCT(
  'User-Product'!$B40:$J40,
  INDEX('User-Product'!$B$2:$J$43, MATCH(J$1, 'User-Product'!$A$2:$A$43, 0), 0)
)</f>
        <v>6</v>
      </c>
      <c r="K40" s="51">
        <f t="array" ref="K40">SUMPRODUCT(
  'User-Product'!$B40:$J40,
  INDEX('User-Product'!$B$2:$J$43, MATCH(K$1, 'User-Product'!$A$2:$A$43, 0), 0)
)</f>
        <v>3</v>
      </c>
      <c r="L40" s="51">
        <f t="array" ref="L40">SUMPRODUCT(
  'User-Product'!$B40:$J40,
  INDEX('User-Product'!$B$2:$J$43, MATCH(L$1, 'User-Product'!$A$2:$A$43, 0), 0)
)</f>
        <v>1</v>
      </c>
      <c r="M40" s="51">
        <f t="array" ref="M40">SUMPRODUCT(
  'User-Product'!$B40:$J40,
  INDEX('User-Product'!$B$2:$J$43, MATCH(M$1, 'User-Product'!$A$2:$A$43, 0), 0)
)</f>
        <v>1</v>
      </c>
      <c r="N40" s="51">
        <f t="array" ref="N40">SUMPRODUCT(
  'User-Product'!$B40:$J40,
  INDEX('User-Product'!$B$2:$J$43, MATCH(N$1, 'User-Product'!$A$2:$A$43, 0), 0)
)</f>
        <v>1</v>
      </c>
      <c r="O40" s="51">
        <f t="array" ref="O40">SUMPRODUCT(
  'User-Product'!$B40:$J40,
  INDEX('User-Product'!$B$2:$J$43, MATCH(O$1, 'User-Product'!$A$2:$A$43, 0), 0)
)</f>
        <v>2</v>
      </c>
      <c r="P40" s="51">
        <f t="array" ref="P40">SUMPRODUCT(
  'User-Product'!$B40:$J40,
  INDEX('User-Product'!$B$2:$J$43, MATCH(P$1, 'User-Product'!$A$2:$A$43, 0), 0)
)</f>
        <v>2</v>
      </c>
      <c r="Q40" s="51">
        <f t="array" ref="Q40">SUMPRODUCT(
  'User-Product'!$B40:$J40,
  INDEX('User-Product'!$B$2:$J$43, MATCH(Q$1, 'User-Product'!$A$2:$A$43, 0), 0)
)</f>
        <v>1</v>
      </c>
      <c r="R40" s="51">
        <f t="array" ref="R40">SUMPRODUCT(
  'User-Product'!$B40:$J40,
  INDEX('User-Product'!$B$2:$J$43, MATCH(R$1, 'User-Product'!$A$2:$A$43, 0), 0)
)</f>
        <v>2</v>
      </c>
      <c r="S40" s="51">
        <f t="array" ref="S40">SUMPRODUCT(
  'User-Product'!$B40:$J40,
  INDEX('User-Product'!$B$2:$J$43, MATCH(S$1, 'User-Product'!$A$2:$A$43, 0), 0)
)</f>
        <v>3</v>
      </c>
      <c r="T40" s="51">
        <f t="array" ref="T40">SUMPRODUCT(
  'User-Product'!$B40:$J40,
  INDEX('User-Product'!$B$2:$J$43, MATCH(T$1, 'User-Product'!$A$2:$A$43, 0), 0)
)</f>
        <v>4</v>
      </c>
      <c r="U40" s="51">
        <f t="array" ref="U40">SUMPRODUCT(
  'User-Product'!$B40:$J40,
  INDEX('User-Product'!$B$2:$J$43, MATCH(U$1, 'User-Product'!$A$2:$A$43, 0), 0)
)</f>
        <v>4</v>
      </c>
      <c r="V40" s="51">
        <f t="array" ref="V40">SUMPRODUCT(
  'User-Product'!$B40:$J40,
  INDEX('User-Product'!$B$2:$J$43, MATCH(V$1, 'User-Product'!$A$2:$A$43, 0), 0)
)</f>
        <v>0</v>
      </c>
      <c r="W40" s="51">
        <f t="array" ref="W40">SUMPRODUCT(
  'User-Product'!$B40:$J40,
  INDEX('User-Product'!$B$2:$J$43, MATCH(W$1, 'User-Product'!$A$2:$A$43, 0), 0)
)</f>
        <v>1</v>
      </c>
      <c r="X40" s="51">
        <f t="array" ref="X40">SUMPRODUCT(
  'User-Product'!$B40:$J40,
  INDEX('User-Product'!$B$2:$J$43, MATCH(X$1, 'User-Product'!$A$2:$A$43, 0), 0)
)</f>
        <v>1</v>
      </c>
      <c r="Y40" s="51">
        <f t="array" ref="Y40">SUMPRODUCT(
  'User-Product'!$B40:$J40,
  INDEX('User-Product'!$B$2:$J$43, MATCH(Y$1, 'User-Product'!$A$2:$A$43, 0), 0)
)</f>
        <v>3</v>
      </c>
      <c r="Z40" s="51">
        <f t="array" ref="Z40">SUMPRODUCT(
  'User-Product'!$B40:$J40,
  INDEX('User-Product'!$B$2:$J$43, MATCH(Z$1, 'User-Product'!$A$2:$A$43, 0), 0)
)</f>
        <v>1</v>
      </c>
      <c r="AA40" s="51">
        <f t="array" ref="AA40">SUMPRODUCT(
  'User-Product'!$B40:$J40,
  INDEX('User-Product'!$B$2:$J$43, MATCH(AA$1, 'User-Product'!$A$2:$A$43, 0), 0)
)</f>
        <v>1</v>
      </c>
      <c r="AB40" s="51">
        <f t="array" ref="AB40">SUMPRODUCT(
  'User-Product'!$B40:$J40,
  INDEX('User-Product'!$B$2:$J$43, MATCH(AB$1, 'User-Product'!$A$2:$A$43, 0), 0)
)</f>
        <v>5</v>
      </c>
      <c r="AC40" s="51">
        <f t="array" ref="AC40">SUMPRODUCT(
  'User-Product'!$B40:$J40,
  INDEX('User-Product'!$B$2:$J$43, MATCH(AC$1, 'User-Product'!$A$2:$A$43, 0), 0)
)</f>
        <v>3</v>
      </c>
      <c r="AD40" s="51">
        <f t="array" ref="AD40">SUMPRODUCT(
  'User-Product'!$B40:$J40,
  INDEX('User-Product'!$B$2:$J$43, MATCH(AD$1, 'User-Product'!$A$2:$A$43, 0), 0)
)</f>
        <v>4</v>
      </c>
      <c r="AE40" s="51">
        <f t="array" ref="AE40">SUMPRODUCT(
  'User-Product'!$B40:$J40,
  INDEX('User-Product'!$B$2:$J$43, MATCH(AE$1, 'User-Product'!$A$2:$A$43, 0), 0)
)</f>
        <v>3</v>
      </c>
      <c r="AF40" s="51">
        <f t="array" ref="AF40">SUMPRODUCT(
  'User-Product'!$B40:$J40,
  INDEX('User-Product'!$B$2:$J$43, MATCH(AF$1, 'User-Product'!$A$2:$A$43, 0), 0)
)</f>
        <v>7</v>
      </c>
      <c r="AG40" s="51">
        <f t="array" ref="AG40">SUMPRODUCT(
  'User-Product'!$B40:$J40,
  INDEX('User-Product'!$B$2:$J$43, MATCH(AG$1, 'User-Product'!$A$2:$A$43, 0), 0)
)</f>
        <v>2</v>
      </c>
      <c r="AH40" s="51">
        <f t="array" ref="AH40">SUMPRODUCT(
  'User-Product'!$B40:$J40,
  INDEX('User-Product'!$B$2:$J$43, MATCH(AH$1, 'User-Product'!$A$2:$A$43, 0), 0)
)</f>
        <v>3</v>
      </c>
      <c r="AI40" s="51">
        <f t="array" ref="AI40">SUMPRODUCT(
  'User-Product'!$B40:$J40,
  INDEX('User-Product'!$B$2:$J$43, MATCH(AI$1, 'User-Product'!$A$2:$A$43, 0), 0)
)</f>
        <v>3</v>
      </c>
      <c r="AJ40" s="51">
        <f t="array" ref="AJ40">SUMPRODUCT(
  'User-Product'!$B40:$J40,
  INDEX('User-Product'!$B$2:$J$43, MATCH(AJ$1, 'User-Product'!$A$2:$A$43, 0), 0)
)</f>
        <v>1</v>
      </c>
      <c r="AK40" s="51">
        <f t="array" ref="AK40">SUMPRODUCT(
  'User-Product'!$B40:$J40,
  INDEX('User-Product'!$B$2:$J$43, MATCH(AK$1, 'User-Product'!$A$2:$A$43, 0), 0)
)</f>
        <v>1</v>
      </c>
      <c r="AL40" s="51">
        <f t="array" ref="AL40">SUMPRODUCT(
  'User-Product'!$B40:$J40,
  INDEX('User-Product'!$B$2:$J$43, MATCH(AL$1, 'User-Product'!$A$2:$A$43, 0), 0)
)</f>
        <v>3</v>
      </c>
      <c r="AM40" s="51">
        <f t="array" ref="AM40">SUMPRODUCT(
  'User-Product'!$B40:$J40,
  INDEX('User-Product'!$B$2:$J$43, MATCH(AM$1, 'User-Product'!$A$2:$A$43, 0), 0)
)</f>
        <v>1</v>
      </c>
      <c r="AN40" s="51">
        <f t="array" ref="AN40">SUMPRODUCT(
  'User-Product'!$B40:$J40,
  INDEX('User-Product'!$B$2:$J$43, MATCH(AN$1, 'User-Product'!$A$2:$A$43, 0), 0)
)</f>
        <v>7</v>
      </c>
      <c r="AO40" s="51">
        <f t="array" ref="AO40">SUMPRODUCT(
  'User-Product'!$B40:$J40,
  INDEX('User-Product'!$B$2:$J$43, MATCH(AO$1, 'User-Product'!$A$2:$A$43, 0), 0)
)</f>
        <v>1</v>
      </c>
      <c r="AP40" s="51">
        <f t="array" ref="AP40">SUMPRODUCT(
  'User-Product'!$B40:$J40,
  INDEX('User-Product'!$B$2:$J$43, MATCH(AP$1, 'User-Product'!$A$2:$A$43, 0), 0)
)</f>
        <v>2</v>
      </c>
      <c r="AQ40" s="51">
        <f t="array" ref="AQ40">SUMPRODUCT(
  'User-Product'!$B40:$J40,
  INDEX('User-Product'!$B$2:$J$43, MATCH(AQ$1, 'User-Product'!$A$2:$A$43, 0), 0)
)</f>
        <v>5</v>
      </c>
      <c r="AR40" s="51"/>
      <c r="AS40" s="51"/>
      <c r="AT40" s="51"/>
      <c r="AU40" s="51"/>
      <c r="AV40" s="51"/>
      <c r="AW40" s="51"/>
      <c r="AX40" s="51"/>
      <c r="AY40" s="51"/>
    </row>
    <row r="41">
      <c r="A41" s="52" t="s">
        <v>101</v>
      </c>
      <c r="B41" s="51">
        <f t="array" ref="B41">SUMPRODUCT(
  'User-Product'!$B41:$J41,
  INDEX('User-Product'!$B$2:$J$43, MATCH(B$1, 'User-Product'!$A$2:$A$43, 0), 0)
)</f>
        <v>0</v>
      </c>
      <c r="C41" s="51">
        <f t="array" ref="C41">SUMPRODUCT(
  'User-Product'!$B41:$J41,
  INDEX('User-Product'!$B$2:$J$43, MATCH(C$1, 'User-Product'!$A$2:$A$43, 0), 0)
)</f>
        <v>0</v>
      </c>
      <c r="D41" s="51">
        <f t="array" ref="D41">SUMPRODUCT(
  'User-Product'!$B41:$J41,
  INDEX('User-Product'!$B$2:$J$43, MATCH(D$1, 'User-Product'!$A$2:$A$43, 0), 0)
)</f>
        <v>0</v>
      </c>
      <c r="E41" s="51">
        <f t="array" ref="E41">SUMPRODUCT(
  'User-Product'!$B41:$J41,
  INDEX('User-Product'!$B$2:$J$43, MATCH(E$1, 'User-Product'!$A$2:$A$43, 0), 0)
)</f>
        <v>1</v>
      </c>
      <c r="F41" s="51">
        <f t="array" ref="F41">SUMPRODUCT(
  'User-Product'!$B41:$J41,
  INDEX('User-Product'!$B$2:$J$43, MATCH(F$1, 'User-Product'!$A$2:$A$43, 0), 0)
)</f>
        <v>1</v>
      </c>
      <c r="G41" s="51">
        <f t="array" ref="G41">SUMPRODUCT(
  'User-Product'!$B41:$J41,
  INDEX('User-Product'!$B$2:$J$43, MATCH(G$1, 'User-Product'!$A$2:$A$43, 0), 0)
)</f>
        <v>0</v>
      </c>
      <c r="H41" s="51">
        <f t="array" ref="H41">SUMPRODUCT(
  'User-Product'!$B41:$J41,
  INDEX('User-Product'!$B$2:$J$43, MATCH(H$1, 'User-Product'!$A$2:$A$43, 0), 0)
)</f>
        <v>1</v>
      </c>
      <c r="I41" s="51">
        <f t="array" ref="I41">SUMPRODUCT(
  'User-Product'!$B41:$J41,
  INDEX('User-Product'!$B$2:$J$43, MATCH(I$1, 'User-Product'!$A$2:$A$43, 0), 0)
)</f>
        <v>1</v>
      </c>
      <c r="J41" s="51">
        <f t="array" ref="J41">SUMPRODUCT(
  'User-Product'!$B41:$J41,
  INDEX('User-Product'!$B$2:$J$43, MATCH(J$1, 'User-Product'!$A$2:$A$43, 0), 0)
)</f>
        <v>1</v>
      </c>
      <c r="K41" s="51">
        <f t="array" ref="K41">SUMPRODUCT(
  'User-Product'!$B41:$J41,
  INDEX('User-Product'!$B$2:$J$43, MATCH(K$1, 'User-Product'!$A$2:$A$43, 0), 0)
)</f>
        <v>0</v>
      </c>
      <c r="L41" s="51">
        <f t="array" ref="L41">SUMPRODUCT(
  'User-Product'!$B41:$J41,
  INDEX('User-Product'!$B$2:$J$43, MATCH(L$1, 'User-Product'!$A$2:$A$43, 0), 0)
)</f>
        <v>0</v>
      </c>
      <c r="M41" s="51">
        <f t="array" ref="M41">SUMPRODUCT(
  'User-Product'!$B41:$J41,
  INDEX('User-Product'!$B$2:$J$43, MATCH(M$1, 'User-Product'!$A$2:$A$43, 0), 0)
)</f>
        <v>0</v>
      </c>
      <c r="N41" s="51">
        <f t="array" ref="N41">SUMPRODUCT(
  'User-Product'!$B41:$J41,
  INDEX('User-Product'!$B$2:$J$43, MATCH(N$1, 'User-Product'!$A$2:$A$43, 0), 0)
)</f>
        <v>0</v>
      </c>
      <c r="O41" s="51">
        <f t="array" ref="O41">SUMPRODUCT(
  'User-Product'!$B41:$J41,
  INDEX('User-Product'!$B$2:$J$43, MATCH(O$1, 'User-Product'!$A$2:$A$43, 0), 0)
)</f>
        <v>0</v>
      </c>
      <c r="P41" s="51">
        <f t="array" ref="P41">SUMPRODUCT(
  'User-Product'!$B41:$J41,
  INDEX('User-Product'!$B$2:$J$43, MATCH(P$1, 'User-Product'!$A$2:$A$43, 0), 0)
)</f>
        <v>1</v>
      </c>
      <c r="Q41" s="51">
        <f t="array" ref="Q41">SUMPRODUCT(
  'User-Product'!$B41:$J41,
  INDEX('User-Product'!$B$2:$J$43, MATCH(Q$1, 'User-Product'!$A$2:$A$43, 0), 0)
)</f>
        <v>0</v>
      </c>
      <c r="R41" s="51">
        <f t="array" ref="R41">SUMPRODUCT(
  'User-Product'!$B41:$J41,
  INDEX('User-Product'!$B$2:$J$43, MATCH(R$1, 'User-Product'!$A$2:$A$43, 0), 0)
)</f>
        <v>0</v>
      </c>
      <c r="S41" s="51">
        <f t="array" ref="S41">SUMPRODUCT(
  'User-Product'!$B41:$J41,
  INDEX('User-Product'!$B$2:$J$43, MATCH(S$1, 'User-Product'!$A$2:$A$43, 0), 0)
)</f>
        <v>1</v>
      </c>
      <c r="T41" s="51">
        <f t="array" ref="T41">SUMPRODUCT(
  'User-Product'!$B41:$J41,
  INDEX('User-Product'!$B$2:$J$43, MATCH(T$1, 'User-Product'!$A$2:$A$43, 0), 0)
)</f>
        <v>1</v>
      </c>
      <c r="U41" s="51">
        <f t="array" ref="U41">SUMPRODUCT(
  'User-Product'!$B41:$J41,
  INDEX('User-Product'!$B$2:$J$43, MATCH(U$1, 'User-Product'!$A$2:$A$43, 0), 0)
)</f>
        <v>1</v>
      </c>
      <c r="V41" s="51">
        <f t="array" ref="V41">SUMPRODUCT(
  'User-Product'!$B41:$J41,
  INDEX('User-Product'!$B$2:$J$43, MATCH(V$1, 'User-Product'!$A$2:$A$43, 0), 0)
)</f>
        <v>0</v>
      </c>
      <c r="W41" s="51">
        <f t="array" ref="W41">SUMPRODUCT(
  'User-Product'!$B41:$J41,
  INDEX('User-Product'!$B$2:$J$43, MATCH(W$1, 'User-Product'!$A$2:$A$43, 0), 0)
)</f>
        <v>0</v>
      </c>
      <c r="X41" s="51">
        <f t="array" ref="X41">SUMPRODUCT(
  'User-Product'!$B41:$J41,
  INDEX('User-Product'!$B$2:$J$43, MATCH(X$1, 'User-Product'!$A$2:$A$43, 0), 0)
)</f>
        <v>0</v>
      </c>
      <c r="Y41" s="51">
        <f t="array" ref="Y41">SUMPRODUCT(
  'User-Product'!$B41:$J41,
  INDEX('User-Product'!$B$2:$J$43, MATCH(Y$1, 'User-Product'!$A$2:$A$43, 0), 0)
)</f>
        <v>0</v>
      </c>
      <c r="Z41" s="51">
        <f t="array" ref="Z41">SUMPRODUCT(
  'User-Product'!$B41:$J41,
  INDEX('User-Product'!$B$2:$J$43, MATCH(Z$1, 'User-Product'!$A$2:$A$43, 0), 0)
)</f>
        <v>0</v>
      </c>
      <c r="AA41" s="51">
        <f t="array" ref="AA41">SUMPRODUCT(
  'User-Product'!$B41:$J41,
  INDEX('User-Product'!$B$2:$J$43, MATCH(AA$1, 'User-Product'!$A$2:$A$43, 0), 0)
)</f>
        <v>0</v>
      </c>
      <c r="AB41" s="51">
        <f t="array" ref="AB41">SUMPRODUCT(
  'User-Product'!$B41:$J41,
  INDEX('User-Product'!$B$2:$J$43, MATCH(AB$1, 'User-Product'!$A$2:$A$43, 0), 0)
)</f>
        <v>0</v>
      </c>
      <c r="AC41" s="51">
        <f t="array" ref="AC41">SUMPRODUCT(
  'User-Product'!$B41:$J41,
  INDEX('User-Product'!$B$2:$J$43, MATCH(AC$1, 'User-Product'!$A$2:$A$43, 0), 0)
)</f>
        <v>0</v>
      </c>
      <c r="AD41" s="51">
        <f t="array" ref="AD41">SUMPRODUCT(
  'User-Product'!$B41:$J41,
  INDEX('User-Product'!$B$2:$J$43, MATCH(AD$1, 'User-Product'!$A$2:$A$43, 0), 0)
)</f>
        <v>1</v>
      </c>
      <c r="AE41" s="51">
        <f t="array" ref="AE41">SUMPRODUCT(
  'User-Product'!$B41:$J41,
  INDEX('User-Product'!$B$2:$J$43, MATCH(AE$1, 'User-Product'!$A$2:$A$43, 0), 0)
)</f>
        <v>0</v>
      </c>
      <c r="AF41" s="51">
        <f t="array" ref="AF41">SUMPRODUCT(
  'User-Product'!$B41:$J41,
  INDEX('User-Product'!$B$2:$J$43, MATCH(AF$1, 'User-Product'!$A$2:$A$43, 0), 0)
)</f>
        <v>1</v>
      </c>
      <c r="AG41" s="51">
        <f t="array" ref="AG41">SUMPRODUCT(
  'User-Product'!$B41:$J41,
  INDEX('User-Product'!$B$2:$J$43, MATCH(AG$1, 'User-Product'!$A$2:$A$43, 0), 0)
)</f>
        <v>1</v>
      </c>
      <c r="AH41" s="51">
        <f t="array" ref="AH41">SUMPRODUCT(
  'User-Product'!$B41:$J41,
  INDEX('User-Product'!$B$2:$J$43, MATCH(AH$1, 'User-Product'!$A$2:$A$43, 0), 0)
)</f>
        <v>1</v>
      </c>
      <c r="AI41" s="51">
        <f t="array" ref="AI41">SUMPRODUCT(
  'User-Product'!$B41:$J41,
  INDEX('User-Product'!$B$2:$J$43, MATCH(AI$1, 'User-Product'!$A$2:$A$43, 0), 0)
)</f>
        <v>1</v>
      </c>
      <c r="AJ41" s="51">
        <f t="array" ref="AJ41">SUMPRODUCT(
  'User-Product'!$B41:$J41,
  INDEX('User-Product'!$B$2:$J$43, MATCH(AJ$1, 'User-Product'!$A$2:$A$43, 0), 0)
)</f>
        <v>1</v>
      </c>
      <c r="AK41" s="51">
        <f t="array" ref="AK41">SUMPRODUCT(
  'User-Product'!$B41:$J41,
  INDEX('User-Product'!$B$2:$J$43, MATCH(AK$1, 'User-Product'!$A$2:$A$43, 0), 0)
)</f>
        <v>0</v>
      </c>
      <c r="AL41" s="51">
        <f t="array" ref="AL41">SUMPRODUCT(
  'User-Product'!$B41:$J41,
  INDEX('User-Product'!$B$2:$J$43, MATCH(AL$1, 'User-Product'!$A$2:$A$43, 0), 0)
)</f>
        <v>0</v>
      </c>
      <c r="AM41" s="51">
        <f t="array" ref="AM41">SUMPRODUCT(
  'User-Product'!$B41:$J41,
  INDEX('User-Product'!$B$2:$J$43, MATCH(AM$1, 'User-Product'!$A$2:$A$43, 0), 0)
)</f>
        <v>0</v>
      </c>
      <c r="AN41" s="51">
        <f t="array" ref="AN41">SUMPRODUCT(
  'User-Product'!$B41:$J41,
  INDEX('User-Product'!$B$2:$J$43, MATCH(AN$1, 'User-Product'!$A$2:$A$43, 0), 0)
)</f>
        <v>1</v>
      </c>
      <c r="AO41" s="51">
        <f t="array" ref="AO41">SUMPRODUCT(
  'User-Product'!$B41:$J41,
  INDEX('User-Product'!$B$2:$J$43, MATCH(AO$1, 'User-Product'!$A$2:$A$43, 0), 0)
)</f>
        <v>1</v>
      </c>
      <c r="AP41" s="51">
        <f t="array" ref="AP41">SUMPRODUCT(
  'User-Product'!$B41:$J41,
  INDEX('User-Product'!$B$2:$J$43, MATCH(AP$1, 'User-Product'!$A$2:$A$43, 0), 0)
)</f>
        <v>0</v>
      </c>
      <c r="AQ41" s="51">
        <f t="array" ref="AQ41">SUMPRODUCT(
  'User-Product'!$B41:$J41,
  INDEX('User-Product'!$B$2:$J$43, MATCH(AQ$1, 'User-Product'!$A$2:$A$43, 0), 0)
)</f>
        <v>1</v>
      </c>
      <c r="AR41" s="51"/>
      <c r="AS41" s="51"/>
      <c r="AT41" s="51"/>
      <c r="AU41" s="51"/>
      <c r="AV41" s="51"/>
      <c r="AW41" s="51"/>
      <c r="AX41" s="51"/>
      <c r="AY41" s="51"/>
    </row>
    <row r="42">
      <c r="A42" s="52" t="s">
        <v>102</v>
      </c>
      <c r="B42" s="51">
        <f t="array" ref="B42">SUMPRODUCT(
  'User-Product'!$B42:$J42,
  INDEX('User-Product'!$B$2:$J$43, MATCH(B$1, 'User-Product'!$A$2:$A$43, 0), 0)
)</f>
        <v>2</v>
      </c>
      <c r="C42" s="51">
        <f t="array" ref="C42">SUMPRODUCT(
  'User-Product'!$B42:$J42,
  INDEX('User-Product'!$B$2:$J$43, MATCH(C$1, 'User-Product'!$A$2:$A$43, 0), 0)
)</f>
        <v>1</v>
      </c>
      <c r="D42" s="51">
        <f t="array" ref="D42">SUMPRODUCT(
  'User-Product'!$B42:$J42,
  INDEX('User-Product'!$B$2:$J$43, MATCH(D$1, 'User-Product'!$A$2:$A$43, 0), 0)
)</f>
        <v>1</v>
      </c>
      <c r="E42" s="51">
        <f t="array" ref="E42">SUMPRODUCT(
  'User-Product'!$B42:$J42,
  INDEX('User-Product'!$B$2:$J$43, MATCH(E$1, 'User-Product'!$A$2:$A$43, 0), 0)
)</f>
        <v>0</v>
      </c>
      <c r="F42" s="51">
        <f t="array" ref="F42">SUMPRODUCT(
  'User-Product'!$B42:$J42,
  INDEX('User-Product'!$B$2:$J$43, MATCH(F$1, 'User-Product'!$A$2:$A$43, 0), 0)
)</f>
        <v>3</v>
      </c>
      <c r="G42" s="51">
        <f t="array" ref="G42">SUMPRODUCT(
  'User-Product'!$B42:$J42,
  INDEX('User-Product'!$B$2:$J$43, MATCH(G$1, 'User-Product'!$A$2:$A$43, 0), 0)
)</f>
        <v>1</v>
      </c>
      <c r="H42" s="51">
        <f t="array" ref="H42">SUMPRODUCT(
  'User-Product'!$B42:$J42,
  INDEX('User-Product'!$B$2:$J$43, MATCH(H$1, 'User-Product'!$A$2:$A$43, 0), 0)
)</f>
        <v>3</v>
      </c>
      <c r="I42" s="51">
        <f t="array" ref="I42">SUMPRODUCT(
  'User-Product'!$B42:$J42,
  INDEX('User-Product'!$B$2:$J$43, MATCH(I$1, 'User-Product'!$A$2:$A$43, 0), 0)
)</f>
        <v>2</v>
      </c>
      <c r="J42" s="51">
        <f t="array" ref="J42">SUMPRODUCT(
  'User-Product'!$B42:$J42,
  INDEX('User-Product'!$B$2:$J$43, MATCH(J$1, 'User-Product'!$A$2:$A$43, 0), 0)
)</f>
        <v>1</v>
      </c>
      <c r="K42" s="51">
        <f t="array" ref="K42">SUMPRODUCT(
  'User-Product'!$B42:$J42,
  INDEX('User-Product'!$B$2:$J$43, MATCH(K$1, 'User-Product'!$A$2:$A$43, 0), 0)
)</f>
        <v>1</v>
      </c>
      <c r="L42" s="51">
        <f t="array" ref="L42">SUMPRODUCT(
  'User-Product'!$B42:$J42,
  INDEX('User-Product'!$B$2:$J$43, MATCH(L$1, 'User-Product'!$A$2:$A$43, 0), 0)
)</f>
        <v>1</v>
      </c>
      <c r="M42" s="51">
        <f t="array" ref="M42">SUMPRODUCT(
  'User-Product'!$B42:$J42,
  INDEX('User-Product'!$B$2:$J$43, MATCH(M$1, 'User-Product'!$A$2:$A$43, 0), 0)
)</f>
        <v>1</v>
      </c>
      <c r="N42" s="51">
        <f t="array" ref="N42">SUMPRODUCT(
  'User-Product'!$B42:$J42,
  INDEX('User-Product'!$B$2:$J$43, MATCH(N$1, 'User-Product'!$A$2:$A$43, 0), 0)
)</f>
        <v>1</v>
      </c>
      <c r="O42" s="51">
        <f t="array" ref="O42">SUMPRODUCT(
  'User-Product'!$B42:$J42,
  INDEX('User-Product'!$B$2:$J$43, MATCH(O$1, 'User-Product'!$A$2:$A$43, 0), 0)
)</f>
        <v>0</v>
      </c>
      <c r="P42" s="51">
        <f t="array" ref="P42">SUMPRODUCT(
  'User-Product'!$B42:$J42,
  INDEX('User-Product'!$B$2:$J$43, MATCH(P$1, 'User-Product'!$A$2:$A$43, 0), 0)
)</f>
        <v>0</v>
      </c>
      <c r="Q42" s="51">
        <f t="array" ref="Q42">SUMPRODUCT(
  'User-Product'!$B42:$J42,
  INDEX('User-Product'!$B$2:$J$43, MATCH(Q$1, 'User-Product'!$A$2:$A$43, 0), 0)
)</f>
        <v>0</v>
      </c>
      <c r="R42" s="51">
        <f t="array" ref="R42">SUMPRODUCT(
  'User-Product'!$B42:$J42,
  INDEX('User-Product'!$B$2:$J$43, MATCH(R$1, 'User-Product'!$A$2:$A$43, 0), 0)
)</f>
        <v>1</v>
      </c>
      <c r="S42" s="51">
        <f t="array" ref="S42">SUMPRODUCT(
  'User-Product'!$B42:$J42,
  INDEX('User-Product'!$B$2:$J$43, MATCH(S$1, 'User-Product'!$A$2:$A$43, 0), 0)
)</f>
        <v>1</v>
      </c>
      <c r="T42" s="51">
        <f t="array" ref="T42">SUMPRODUCT(
  'User-Product'!$B42:$J42,
  INDEX('User-Product'!$B$2:$J$43, MATCH(T$1, 'User-Product'!$A$2:$A$43, 0), 0)
)</f>
        <v>2</v>
      </c>
      <c r="U42" s="51">
        <f t="array" ref="U42">SUMPRODUCT(
  'User-Product'!$B42:$J42,
  INDEX('User-Product'!$B$2:$J$43, MATCH(U$1, 'User-Product'!$A$2:$A$43, 0), 0)
)</f>
        <v>1</v>
      </c>
      <c r="V42" s="51">
        <f t="array" ref="V42">SUMPRODUCT(
  'User-Product'!$B42:$J42,
  INDEX('User-Product'!$B$2:$J$43, MATCH(V$1, 'User-Product'!$A$2:$A$43, 0), 0)
)</f>
        <v>1</v>
      </c>
      <c r="W42" s="51">
        <f t="array" ref="W42">SUMPRODUCT(
  'User-Product'!$B42:$J42,
  INDEX('User-Product'!$B$2:$J$43, MATCH(W$1, 'User-Product'!$A$2:$A$43, 0), 0)
)</f>
        <v>1</v>
      </c>
      <c r="X42" s="51">
        <f t="array" ref="X42">SUMPRODUCT(
  'User-Product'!$B42:$J42,
  INDEX('User-Product'!$B$2:$J$43, MATCH(X$1, 'User-Product'!$A$2:$A$43, 0), 0)
)</f>
        <v>1</v>
      </c>
      <c r="Y42" s="51">
        <f t="array" ref="Y42">SUMPRODUCT(
  'User-Product'!$B42:$J42,
  INDEX('User-Product'!$B$2:$J$43, MATCH(Y$1, 'User-Product'!$A$2:$A$43, 0), 0)
)</f>
        <v>1</v>
      </c>
      <c r="Z42" s="51">
        <f t="array" ref="Z42">SUMPRODUCT(
  'User-Product'!$B42:$J42,
  INDEX('User-Product'!$B$2:$J$43, MATCH(Z$1, 'User-Product'!$A$2:$A$43, 0), 0)
)</f>
        <v>1</v>
      </c>
      <c r="AA42" s="51">
        <f t="array" ref="AA42">SUMPRODUCT(
  'User-Product'!$B42:$J42,
  INDEX('User-Product'!$B$2:$J$43, MATCH(AA$1, 'User-Product'!$A$2:$A$43, 0), 0)
)</f>
        <v>1</v>
      </c>
      <c r="AB42" s="51">
        <f t="array" ref="AB42">SUMPRODUCT(
  'User-Product'!$B42:$J42,
  INDEX('User-Product'!$B$2:$J$43, MATCH(AB$1, 'User-Product'!$A$2:$A$43, 0), 0)
)</f>
        <v>3</v>
      </c>
      <c r="AC42" s="51">
        <f t="array" ref="AC42">SUMPRODUCT(
  'User-Product'!$B42:$J42,
  INDEX('User-Product'!$B$2:$J$43, MATCH(AC$1, 'User-Product'!$A$2:$A$43, 0), 0)
)</f>
        <v>3</v>
      </c>
      <c r="AD42" s="51">
        <f t="array" ref="AD42">SUMPRODUCT(
  'User-Product'!$B42:$J42,
  INDEX('User-Product'!$B$2:$J$43, MATCH(AD$1, 'User-Product'!$A$2:$A$43, 0), 0)
)</f>
        <v>1</v>
      </c>
      <c r="AE42" s="51">
        <f t="array" ref="AE42">SUMPRODUCT(
  'User-Product'!$B42:$J42,
  INDEX('User-Product'!$B$2:$J$43, MATCH(AE$1, 'User-Product'!$A$2:$A$43, 0), 0)
)</f>
        <v>2</v>
      </c>
      <c r="AF42" s="51">
        <f t="array" ref="AF42">SUMPRODUCT(
  'User-Product'!$B42:$J42,
  INDEX('User-Product'!$B$2:$J$43, MATCH(AF$1, 'User-Product'!$A$2:$A$43, 0), 0)
)</f>
        <v>3</v>
      </c>
      <c r="AG42" s="51">
        <f t="array" ref="AG42">SUMPRODUCT(
  'User-Product'!$B42:$J42,
  INDEX('User-Product'!$B$2:$J$43, MATCH(AG$1, 'User-Product'!$A$2:$A$43, 0), 0)
)</f>
        <v>0</v>
      </c>
      <c r="AH42" s="51">
        <f t="array" ref="AH42">SUMPRODUCT(
  'User-Product'!$B42:$J42,
  INDEX('User-Product'!$B$2:$J$43, MATCH(AH$1, 'User-Product'!$A$2:$A$43, 0), 0)
)</f>
        <v>0</v>
      </c>
      <c r="AI42" s="51">
        <f t="array" ref="AI42">SUMPRODUCT(
  'User-Product'!$B42:$J42,
  INDEX('User-Product'!$B$2:$J$43, MATCH(AI$1, 'User-Product'!$A$2:$A$43, 0), 0)
)</f>
        <v>0</v>
      </c>
      <c r="AJ42" s="51">
        <f t="array" ref="AJ42">SUMPRODUCT(
  'User-Product'!$B42:$J42,
  INDEX('User-Product'!$B$2:$J$43, MATCH(AJ$1, 'User-Product'!$A$2:$A$43, 0), 0)
)</f>
        <v>0</v>
      </c>
      <c r="AK42" s="51">
        <f t="array" ref="AK42">SUMPRODUCT(
  'User-Product'!$B42:$J42,
  INDEX('User-Product'!$B$2:$J$43, MATCH(AK$1, 'User-Product'!$A$2:$A$43, 0), 0)
)</f>
        <v>1</v>
      </c>
      <c r="AL42" s="51">
        <f t="array" ref="AL42">SUMPRODUCT(
  'User-Product'!$B42:$J42,
  INDEX('User-Product'!$B$2:$J$43, MATCH(AL$1, 'User-Product'!$A$2:$A$43, 0), 0)
)</f>
        <v>3</v>
      </c>
      <c r="AM42" s="51">
        <f t="array" ref="AM42">SUMPRODUCT(
  'User-Product'!$B42:$J42,
  INDEX('User-Product'!$B$2:$J$43, MATCH(AM$1, 'User-Product'!$A$2:$A$43, 0), 0)
)</f>
        <v>1</v>
      </c>
      <c r="AN42" s="51">
        <f t="array" ref="AN42">SUMPRODUCT(
  'User-Product'!$B42:$J42,
  INDEX('User-Product'!$B$2:$J$43, MATCH(AN$1, 'User-Product'!$A$2:$A$43, 0), 0)
)</f>
        <v>2</v>
      </c>
      <c r="AO42" s="51">
        <f t="array" ref="AO42">SUMPRODUCT(
  'User-Product'!$B42:$J42,
  INDEX('User-Product'!$B$2:$J$43, MATCH(AO$1, 'User-Product'!$A$2:$A$43, 0), 0)
)</f>
        <v>0</v>
      </c>
      <c r="AP42" s="53">
        <f t="array" ref="AP42">SUMPRODUCT(
  'User-Product'!$B42:$J42,
  INDEX('User-Product'!$B$2:$J$43, MATCH(AP$1, 'User-Product'!$A$2:$A$43, 0), 0)
)</f>
        <v>3</v>
      </c>
      <c r="AQ42" s="51">
        <f t="array" ref="AQ42">SUMPRODUCT(
  'User-Product'!$B42:$J42,
  INDEX('User-Product'!$B$2:$J$43, MATCH(AQ$1, 'User-Product'!$A$2:$A$43, 0), 0)
)</f>
        <v>1</v>
      </c>
      <c r="AR42" s="51"/>
      <c r="AS42" s="51"/>
      <c r="AT42" s="51"/>
      <c r="AU42" s="51"/>
      <c r="AV42" s="51"/>
      <c r="AW42" s="51"/>
      <c r="AX42" s="51"/>
      <c r="AY42" s="51"/>
    </row>
    <row r="43">
      <c r="A43" s="52" t="s">
        <v>103</v>
      </c>
      <c r="B43" s="51">
        <f t="array" ref="B43">SUMPRODUCT(
  'User-Product'!$B43:$J43,
  INDEX('User-Product'!$B$2:$J$43, MATCH(B$1, 'User-Product'!$A$2:$A$43, 0), 0)
)</f>
        <v>2</v>
      </c>
      <c r="C43" s="51">
        <f t="array" ref="C43">SUMPRODUCT(
  'User-Product'!$B43:$J43,
  INDEX('User-Product'!$B$2:$J$43, MATCH(C$1, 'User-Product'!$A$2:$A$43, 0), 0)
)</f>
        <v>2</v>
      </c>
      <c r="D43" s="51">
        <f t="array" ref="D43">SUMPRODUCT(
  'User-Product'!$B43:$J43,
  INDEX('User-Product'!$B$2:$J$43, MATCH(D$1, 'User-Product'!$A$2:$A$43, 0), 0)
)</f>
        <v>2</v>
      </c>
      <c r="E43" s="51">
        <f t="array" ref="E43">SUMPRODUCT(
  'User-Product'!$B43:$J43,
  INDEX('User-Product'!$B$2:$J$43, MATCH(E$1, 'User-Product'!$A$2:$A$43, 0), 0)
)</f>
        <v>1</v>
      </c>
      <c r="F43" s="51">
        <f t="array" ref="F43">SUMPRODUCT(
  'User-Product'!$B43:$J43,
  INDEX('User-Product'!$B$2:$J$43, MATCH(F$1, 'User-Product'!$A$2:$A$43, 0), 0)
)</f>
        <v>6</v>
      </c>
      <c r="G43" s="51">
        <f t="array" ref="G43">SUMPRODUCT(
  'User-Product'!$B43:$J43,
  INDEX('User-Product'!$B$2:$J$43, MATCH(G$1, 'User-Product'!$A$2:$A$43, 0), 0)
)</f>
        <v>2</v>
      </c>
      <c r="H43" s="51">
        <f t="array" ref="H43">SUMPRODUCT(
  'User-Product'!$B43:$J43,
  INDEX('User-Product'!$B$2:$J$43, MATCH(H$1, 'User-Product'!$A$2:$A$43, 0), 0)
)</f>
        <v>3</v>
      </c>
      <c r="I43" s="51">
        <f t="array" ref="I43">SUMPRODUCT(
  'User-Product'!$B43:$J43,
  INDEX('User-Product'!$B$2:$J$43, MATCH(I$1, 'User-Product'!$A$2:$A$43, 0), 0)
)</f>
        <v>2</v>
      </c>
      <c r="J43" s="51">
        <f t="array" ref="J43">SUMPRODUCT(
  'User-Product'!$B43:$J43,
  INDEX('User-Product'!$B$2:$J$43, MATCH(J$1, 'User-Product'!$A$2:$A$43, 0), 0)
)</f>
        <v>5</v>
      </c>
      <c r="K43" s="51">
        <f t="array" ref="K43">SUMPRODUCT(
  'User-Product'!$B43:$J43,
  INDEX('User-Product'!$B$2:$J$43, MATCH(K$1, 'User-Product'!$A$2:$A$43, 0), 0)
)</f>
        <v>3</v>
      </c>
      <c r="L43" s="51">
        <f t="array" ref="L43">SUMPRODUCT(
  'User-Product'!$B43:$J43,
  INDEX('User-Product'!$B$2:$J$43, MATCH(L$1, 'User-Product'!$A$2:$A$43, 0), 0)
)</f>
        <v>1</v>
      </c>
      <c r="M43" s="51">
        <f t="array" ref="M43">SUMPRODUCT(
  'User-Product'!$B43:$J43,
  INDEX('User-Product'!$B$2:$J$43, MATCH(M$1, 'User-Product'!$A$2:$A$43, 0), 0)
)</f>
        <v>0</v>
      </c>
      <c r="N43" s="51">
        <f t="array" ref="N43">SUMPRODUCT(
  'User-Product'!$B43:$J43,
  INDEX('User-Product'!$B$2:$J$43, MATCH(N$1, 'User-Product'!$A$2:$A$43, 0), 0)
)</f>
        <v>1</v>
      </c>
      <c r="O43" s="51">
        <f t="array" ref="O43">SUMPRODUCT(
  'User-Product'!$B43:$J43,
  INDEX('User-Product'!$B$2:$J$43, MATCH(O$1, 'User-Product'!$A$2:$A$43, 0), 0)
)</f>
        <v>2</v>
      </c>
      <c r="P43" s="51">
        <f t="array" ref="P43">SUMPRODUCT(
  'User-Product'!$B43:$J43,
  INDEX('User-Product'!$B$2:$J$43, MATCH(P$1, 'User-Product'!$A$2:$A$43, 0), 0)
)</f>
        <v>3</v>
      </c>
      <c r="Q43" s="51">
        <f t="array" ref="Q43">SUMPRODUCT(
  'User-Product'!$B43:$J43,
  INDEX('User-Product'!$B$2:$J$43, MATCH(Q$1, 'User-Product'!$A$2:$A$43, 0), 0)
)</f>
        <v>1</v>
      </c>
      <c r="R43" s="51">
        <f t="array" ref="R43">SUMPRODUCT(
  'User-Product'!$B43:$J43,
  INDEX('User-Product'!$B$2:$J$43, MATCH(R$1, 'User-Product'!$A$2:$A$43, 0), 0)
)</f>
        <v>2</v>
      </c>
      <c r="S43" s="51">
        <f t="array" ref="S43">SUMPRODUCT(
  'User-Product'!$B43:$J43,
  INDEX('User-Product'!$B$2:$J$43, MATCH(S$1, 'User-Product'!$A$2:$A$43, 0), 0)
)</f>
        <v>1</v>
      </c>
      <c r="T43" s="51">
        <f t="array" ref="T43">SUMPRODUCT(
  'User-Product'!$B43:$J43,
  INDEX('User-Product'!$B$2:$J$43, MATCH(T$1, 'User-Product'!$A$2:$A$43, 0), 0)
)</f>
        <v>3</v>
      </c>
      <c r="U43" s="51">
        <f t="array" ref="U43">SUMPRODUCT(
  'User-Product'!$B43:$J43,
  INDEX('User-Product'!$B$2:$J$43, MATCH(U$1, 'User-Product'!$A$2:$A$43, 0), 0)
)</f>
        <v>2</v>
      </c>
      <c r="V43" s="51">
        <f t="array" ref="V43">SUMPRODUCT(
  'User-Product'!$B43:$J43,
  INDEX('User-Product'!$B$2:$J$43, MATCH(V$1, 'User-Product'!$A$2:$A$43, 0), 0)
)</f>
        <v>0</v>
      </c>
      <c r="W43" s="51">
        <f t="array" ref="W43">SUMPRODUCT(
  'User-Product'!$B43:$J43,
  INDEX('User-Product'!$B$2:$J$43, MATCH(W$1, 'User-Product'!$A$2:$A$43, 0), 0)
)</f>
        <v>0</v>
      </c>
      <c r="X43" s="51">
        <f t="array" ref="X43">SUMPRODUCT(
  'User-Product'!$B43:$J43,
  INDEX('User-Product'!$B$2:$J$43, MATCH(X$1, 'User-Product'!$A$2:$A$43, 0), 0)
)</f>
        <v>0</v>
      </c>
      <c r="Y43" s="51">
        <f t="array" ref="Y43">SUMPRODUCT(
  'User-Product'!$B43:$J43,
  INDEX('User-Product'!$B$2:$J$43, MATCH(Y$1, 'User-Product'!$A$2:$A$43, 0), 0)
)</f>
        <v>3</v>
      </c>
      <c r="Z43" s="51">
        <f t="array" ref="Z43">SUMPRODUCT(
  'User-Product'!$B43:$J43,
  INDEX('User-Product'!$B$2:$J$43, MATCH(Z$1, 'User-Product'!$A$2:$A$43, 0), 0)
)</f>
        <v>0</v>
      </c>
      <c r="AA43" s="51">
        <f t="array" ref="AA43">SUMPRODUCT(
  'User-Product'!$B43:$J43,
  INDEX('User-Product'!$B$2:$J$43, MATCH(AA$1, 'User-Product'!$A$2:$A$43, 0), 0)
)</f>
        <v>0</v>
      </c>
      <c r="AB43" s="51">
        <f t="array" ref="AB43">SUMPRODUCT(
  'User-Product'!$B43:$J43,
  INDEX('User-Product'!$B$2:$J$43, MATCH(AB$1, 'User-Product'!$A$2:$A$43, 0), 0)
)</f>
        <v>4</v>
      </c>
      <c r="AC43" s="51">
        <f t="array" ref="AC43">SUMPRODUCT(
  'User-Product'!$B43:$J43,
  INDEX('User-Product'!$B$2:$J$43, MATCH(AC$1, 'User-Product'!$A$2:$A$43, 0), 0)
)</f>
        <v>2</v>
      </c>
      <c r="AD43" s="51">
        <f t="array" ref="AD43">SUMPRODUCT(
  'User-Product'!$B43:$J43,
  INDEX('User-Product'!$B$2:$J$43, MATCH(AD$1, 'User-Product'!$A$2:$A$43, 0), 0)
)</f>
        <v>4</v>
      </c>
      <c r="AE43" s="51">
        <f t="array" ref="AE43">SUMPRODUCT(
  'User-Product'!$B43:$J43,
  INDEX('User-Product'!$B$2:$J$43, MATCH(AE$1, 'User-Product'!$A$2:$A$43, 0), 0)
)</f>
        <v>2</v>
      </c>
      <c r="AF43" s="51">
        <f t="array" ref="AF43">SUMPRODUCT(
  'User-Product'!$B43:$J43,
  INDEX('User-Product'!$B$2:$J$43, MATCH(AF$1, 'User-Product'!$A$2:$A$43, 0), 0)
)</f>
        <v>6</v>
      </c>
      <c r="AG43" s="51">
        <f t="array" ref="AG43">SUMPRODUCT(
  'User-Product'!$B43:$J43,
  INDEX('User-Product'!$B$2:$J$43, MATCH(AG$1, 'User-Product'!$A$2:$A$43, 0), 0)
)</f>
        <v>2</v>
      </c>
      <c r="AH43" s="51">
        <f t="array" ref="AH43">SUMPRODUCT(
  'User-Product'!$B43:$J43,
  INDEX('User-Product'!$B$2:$J$43, MATCH(AH$1, 'User-Product'!$A$2:$A$43, 0), 0)
)</f>
        <v>3</v>
      </c>
      <c r="AI43" s="51">
        <f t="array" ref="AI43">SUMPRODUCT(
  'User-Product'!$B43:$J43,
  INDEX('User-Product'!$B$2:$J$43, MATCH(AI$1, 'User-Product'!$A$2:$A$43, 0), 0)
)</f>
        <v>3</v>
      </c>
      <c r="AJ43" s="51">
        <f t="array" ref="AJ43">SUMPRODUCT(
  'User-Product'!$B43:$J43,
  INDEX('User-Product'!$B$2:$J$43, MATCH(AJ$1, 'User-Product'!$A$2:$A$43, 0), 0)
)</f>
        <v>1</v>
      </c>
      <c r="AK43" s="51">
        <f t="array" ref="AK43">SUMPRODUCT(
  'User-Product'!$B43:$J43,
  INDEX('User-Product'!$B$2:$J$43, MATCH(AK$1, 'User-Product'!$A$2:$A$43, 0), 0)
)</f>
        <v>0</v>
      </c>
      <c r="AL43" s="51">
        <f t="array" ref="AL43">SUMPRODUCT(
  'User-Product'!$B43:$J43,
  INDEX('User-Product'!$B$2:$J$43, MATCH(AL$1, 'User-Product'!$A$2:$A$43, 0), 0)
)</f>
        <v>3</v>
      </c>
      <c r="AM43" s="51">
        <f t="array" ref="AM43">SUMPRODUCT(
  'User-Product'!$B43:$J43,
  INDEX('User-Product'!$B$2:$J$43, MATCH(AM$1, 'User-Product'!$A$2:$A$43, 0), 0)
)</f>
        <v>0</v>
      </c>
      <c r="AN43" s="51">
        <f t="array" ref="AN43">SUMPRODUCT(
  'User-Product'!$B43:$J43,
  INDEX('User-Product'!$B$2:$J$43, MATCH(AN$1, 'User-Product'!$A$2:$A$43, 0), 0)
)</f>
        <v>5</v>
      </c>
      <c r="AO43" s="51">
        <f t="array" ref="AO43">SUMPRODUCT(
  'User-Product'!$B43:$J43,
  INDEX('User-Product'!$B$2:$J$43, MATCH(AO$1, 'User-Product'!$A$2:$A$43, 0), 0)
)</f>
        <v>1</v>
      </c>
      <c r="AP43" s="51">
        <f t="array" ref="AP43">SUMPRODUCT(
  'User-Product'!$B43:$J43,
  INDEX('User-Product'!$B$2:$J$43, MATCH(AP$1, 'User-Product'!$A$2:$A$43, 0), 0)
)</f>
        <v>1</v>
      </c>
      <c r="AQ43" s="53">
        <f t="array" ref="AQ43">SUMPRODUCT(
  'User-Product'!$B43:$J43,
  INDEX('User-Product'!$B$2:$J$43, MATCH(AQ$1, 'User-Product'!$A$2:$A$43, 0), 0)
)</f>
        <v>6</v>
      </c>
      <c r="AR43" s="51"/>
      <c r="AS43" s="51"/>
      <c r="AT43" s="51"/>
      <c r="AU43" s="51"/>
      <c r="AV43" s="51"/>
      <c r="AW43" s="51"/>
      <c r="AX43" s="51"/>
      <c r="AY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  <c r="AT953" s="51"/>
      <c r="AU953" s="51"/>
      <c r="AV953" s="51"/>
      <c r="AW953" s="51"/>
      <c r="AX953" s="51"/>
      <c r="AY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51"/>
      <c r="AU954" s="51"/>
      <c r="AV954" s="51"/>
      <c r="AW954" s="51"/>
      <c r="AX954" s="51"/>
      <c r="AY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  <c r="AT955" s="51"/>
      <c r="AU955" s="51"/>
      <c r="AV955" s="51"/>
      <c r="AW955" s="51"/>
      <c r="AX955" s="51"/>
      <c r="AY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51"/>
      <c r="AU956" s="51"/>
      <c r="AV956" s="51"/>
      <c r="AW956" s="51"/>
      <c r="AX956" s="51"/>
      <c r="AY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  <c r="AT957" s="51"/>
      <c r="AU957" s="51"/>
      <c r="AV957" s="51"/>
      <c r="AW957" s="51"/>
      <c r="AX957" s="51"/>
      <c r="AY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51"/>
      <c r="AU958" s="51"/>
      <c r="AV958" s="51"/>
      <c r="AW958" s="51"/>
      <c r="AX958" s="51"/>
      <c r="AY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51"/>
      <c r="AU959" s="51"/>
      <c r="AV959" s="51"/>
      <c r="AW959" s="51"/>
      <c r="AX959" s="51"/>
      <c r="AY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51"/>
      <c r="AU964" s="51"/>
      <c r="AV964" s="51"/>
      <c r="AW964" s="51"/>
      <c r="AX964" s="51"/>
      <c r="AY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  <c r="AT965" s="51"/>
      <c r="AU965" s="51"/>
      <c r="AV965" s="51"/>
      <c r="AW965" s="51"/>
      <c r="AX965" s="51"/>
      <c r="AY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51"/>
      <c r="AU966" s="51"/>
      <c r="AV966" s="51"/>
      <c r="AW966" s="51"/>
      <c r="AX966" s="51"/>
      <c r="AY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  <c r="AT967" s="51"/>
      <c r="AU967" s="51"/>
      <c r="AV967" s="51"/>
      <c r="AW967" s="51"/>
      <c r="AX967" s="51"/>
      <c r="AY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51"/>
      <c r="AU968" s="51"/>
      <c r="AV968" s="51"/>
      <c r="AW968" s="51"/>
      <c r="AX968" s="51"/>
      <c r="AY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  <c r="AT969" s="51"/>
      <c r="AU969" s="51"/>
      <c r="AV969" s="51"/>
      <c r="AW969" s="51"/>
      <c r="AX969" s="51"/>
      <c r="AY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51"/>
      <c r="AU970" s="51"/>
      <c r="AV970" s="51"/>
      <c r="AW970" s="51"/>
      <c r="AX970" s="51"/>
      <c r="AY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  <c r="AT971" s="51"/>
      <c r="AU971" s="51"/>
      <c r="AV971" s="51"/>
      <c r="AW971" s="51"/>
      <c r="AX971" s="51"/>
      <c r="AY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  <c r="AT972" s="51"/>
      <c r="AU972" s="51"/>
      <c r="AV972" s="51"/>
      <c r="AW972" s="51"/>
      <c r="AX972" s="51"/>
      <c r="AY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51"/>
      <c r="AU973" s="51"/>
      <c r="AV973" s="51"/>
      <c r="AW973" s="51"/>
      <c r="AX973" s="51"/>
      <c r="AY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  <c r="AT975" s="51"/>
      <c r="AU975" s="51"/>
      <c r="AV975" s="51"/>
      <c r="AW975" s="51"/>
      <c r="AX975" s="51"/>
      <c r="AY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51"/>
      <c r="AU976" s="51"/>
      <c r="AV976" s="51"/>
      <c r="AW976" s="51"/>
      <c r="AX976" s="51"/>
      <c r="AY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51"/>
      <c r="AU977" s="51"/>
      <c r="AV977" s="51"/>
      <c r="AW977" s="51"/>
      <c r="AX977" s="51"/>
      <c r="AY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  <c r="AT978" s="51"/>
      <c r="AU978" s="51"/>
      <c r="AV978" s="51"/>
      <c r="AW978" s="51"/>
      <c r="AX978" s="51"/>
      <c r="AY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51"/>
      <c r="AU979" s="51"/>
      <c r="AV979" s="51"/>
      <c r="AW979" s="51"/>
      <c r="AX979" s="51"/>
      <c r="AY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  <c r="AT980" s="51"/>
      <c r="AU980" s="51"/>
      <c r="AV980" s="51"/>
      <c r="AW980" s="51"/>
      <c r="AX980" s="51"/>
      <c r="AY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51"/>
      <c r="AU981" s="51"/>
      <c r="AV981" s="51"/>
      <c r="AW981" s="51"/>
      <c r="AX981" s="51"/>
      <c r="AY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  <c r="AT982" s="51"/>
      <c r="AU982" s="51"/>
      <c r="AV982" s="51"/>
      <c r="AW982" s="51"/>
      <c r="AX982" s="51"/>
      <c r="AY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51"/>
      <c r="AU983" s="51"/>
      <c r="AV983" s="51"/>
      <c r="AW983" s="51"/>
      <c r="AX983" s="51"/>
      <c r="AY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  <c r="AT984" s="51"/>
      <c r="AU984" s="51"/>
      <c r="AV984" s="51"/>
      <c r="AW984" s="51"/>
      <c r="AX984" s="51"/>
      <c r="AY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51"/>
      <c r="AU986" s="51"/>
      <c r="AV986" s="51"/>
      <c r="AW986" s="51"/>
      <c r="AX986" s="51"/>
      <c r="AY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51"/>
      <c r="AV987" s="51"/>
      <c r="AW987" s="51"/>
      <c r="AX987" s="51"/>
      <c r="AY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51"/>
      <c r="AU988" s="51"/>
      <c r="AV988" s="51"/>
      <c r="AW988" s="51"/>
      <c r="AX988" s="51"/>
      <c r="AY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51"/>
      <c r="AU989" s="51"/>
      <c r="AV989" s="51"/>
      <c r="AW989" s="51"/>
      <c r="AX989" s="51"/>
      <c r="AY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  <c r="AT990" s="51"/>
      <c r="AU990" s="51"/>
      <c r="AV990" s="51"/>
      <c r="AW990" s="51"/>
      <c r="AX990" s="51"/>
      <c r="AY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  <c r="AT992" s="51"/>
      <c r="AU992" s="51"/>
      <c r="AV992" s="51"/>
      <c r="AW992" s="51"/>
      <c r="AX992" s="51"/>
      <c r="AY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  <c r="AT994" s="51"/>
      <c r="AU994" s="51"/>
      <c r="AV994" s="51"/>
      <c r="AW994" s="51"/>
      <c r="AX994" s="51"/>
      <c r="AY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  <c r="AT998" s="51"/>
      <c r="AU998" s="51"/>
      <c r="AV998" s="51"/>
      <c r="AW998" s="51"/>
      <c r="AX998" s="51"/>
      <c r="AY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51"/>
      <c r="AU999" s="51"/>
      <c r="AV999" s="51"/>
      <c r="AW999" s="51"/>
      <c r="AX999" s="51"/>
      <c r="AY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  <c r="AT1000" s="51"/>
      <c r="AU1000" s="51"/>
      <c r="AV1000" s="51"/>
      <c r="AW1000" s="51"/>
      <c r="AX1000" s="51"/>
      <c r="AY1000" s="51"/>
    </row>
  </sheetData>
  <conditionalFormatting sqref="B2:AO43">
    <cfRule type="expression" dxfId="5" priority="1">
      <formula>$A2=B$1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8" max="8" width="15.13"/>
  </cols>
  <sheetData>
    <row r="1">
      <c r="A1" s="54"/>
      <c r="B1" s="55" t="s">
        <v>104</v>
      </c>
      <c r="C1" s="55" t="s">
        <v>46</v>
      </c>
      <c r="D1" s="55" t="s">
        <v>47</v>
      </c>
      <c r="E1" s="55" t="s">
        <v>48</v>
      </c>
      <c r="F1" s="55" t="s">
        <v>49</v>
      </c>
      <c r="G1" s="55" t="s">
        <v>50</v>
      </c>
      <c r="H1" s="55" t="s">
        <v>51</v>
      </c>
      <c r="I1" s="55" t="s">
        <v>52</v>
      </c>
      <c r="J1" s="55" t="s">
        <v>53</v>
      </c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5" t="s">
        <v>104</v>
      </c>
      <c r="B2" s="54">
        <f t="array" ref="B2">SUMPRODUCT(
  INDEX('User-Product'!$B$2:$J$43,,MATCH($A2,'User-Product'!$B$1:$J$1,0)),
  INDEX('User-Product'!$B$2:$J$43,,MATCH(B$1,'User-Product'!$B$1:$J$1,0))
)</f>
        <v>22</v>
      </c>
      <c r="C2" s="54">
        <f t="array" ref="C2">SUMPRODUCT(
  INDEX('User-Product'!$B$2:$J$43,,MATCH($A2,'User-Product'!$B$1:$J$1,0)),
  INDEX('User-Product'!$B$2:$J$43,,MATCH(C$1,'User-Product'!$B$1:$J$1,0))
)</f>
        <v>8</v>
      </c>
      <c r="D2" s="54">
        <f t="array" ref="D2">SUMPRODUCT(
  INDEX('User-Product'!$B$2:$J$43,,MATCH($A2,'User-Product'!$B$1:$J$1,0)),
  INDEX('User-Product'!$B$2:$J$43,,MATCH(D$1,'User-Product'!$B$1:$J$1,0))
)</f>
        <v>4</v>
      </c>
      <c r="E2" s="54">
        <f t="array" ref="E2">SUMPRODUCT(
  INDEX('User-Product'!$B$2:$J$43,,MATCH($A2,'User-Product'!$B$1:$J$1,0)),
  INDEX('User-Product'!$B$2:$J$43,,MATCH(E$1,'User-Product'!$B$1:$J$1,0))
)</f>
        <v>8</v>
      </c>
      <c r="F2" s="54">
        <f t="array" ref="F2">SUMPRODUCT(
  INDEX('User-Product'!$B$2:$J$43,,MATCH($A2,'User-Product'!$B$1:$J$1,0)),
  INDEX('User-Product'!$B$2:$J$43,,MATCH(F$1,'User-Product'!$B$1:$J$1,0))
)</f>
        <v>8</v>
      </c>
      <c r="G2" s="54">
        <f t="array" ref="G2">SUMPRODUCT(
  INDEX('User-Product'!$B$2:$J$43,,MATCH($A2,'User-Product'!$B$1:$J$1,0)),
  INDEX('User-Product'!$B$2:$J$43,,MATCH(G$1,'User-Product'!$B$1:$J$1,0))
)</f>
        <v>11</v>
      </c>
      <c r="H2" s="54">
        <f t="array" ref="H2">SUMPRODUCT(
  INDEX('User-Product'!$B$2:$J$43,,MATCH($A2,'User-Product'!$B$1:$J$1,0)),
  INDEX('User-Product'!$B$2:$J$43,,MATCH(H$1,'User-Product'!$B$1:$J$1,0))
)</f>
        <v>8</v>
      </c>
      <c r="I2" s="54">
        <f t="array" ref="I2">SUMPRODUCT(
  INDEX('User-Product'!$B$2:$J$43,,MATCH($A2,'User-Product'!$B$1:$J$1,0)),
  INDEX('User-Product'!$B$2:$J$43,,MATCH(I$1,'User-Product'!$B$1:$J$1,0))
)</f>
        <v>6</v>
      </c>
      <c r="J2" s="54">
        <f t="array" ref="J2">SUMPRODUCT(
  INDEX('User-Product'!$B$2:$J$43,,MATCH($A2,'User-Product'!$B$1:$J$1,0)),
  INDEX('User-Product'!$B$2:$J$43,,MATCH(J$1,'User-Product'!$B$1:$J$1,0))
)</f>
        <v>7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5" t="s">
        <v>46</v>
      </c>
      <c r="B3" s="54">
        <f t="array" ref="B3">SUMPRODUCT(
  INDEX('User-Product'!$B$2:$J$43,,MATCH($A3,'User-Product'!$B$1:$J$1,0)),
  INDEX('User-Product'!$B$2:$J$43,,MATCH(B$1,'User-Product'!$B$1:$J$1,0))
)</f>
        <v>8</v>
      </c>
      <c r="C3" s="54">
        <f t="array" ref="C3">SUMPRODUCT(
  INDEX('User-Product'!$B$2:$J$43,,MATCH($A3,'User-Product'!$B$1:$J$1,0)),
  INDEX('User-Product'!$B$2:$J$43,,MATCH(C$1,'User-Product'!$B$1:$J$1,0))
)</f>
        <v>18</v>
      </c>
      <c r="D3" s="54">
        <f t="array" ref="D3">SUMPRODUCT(
  INDEX('User-Product'!$B$2:$J$43,,MATCH($A3,'User-Product'!$B$1:$J$1,0)),
  INDEX('User-Product'!$B$2:$J$43,,MATCH(D$1,'User-Product'!$B$1:$J$1,0))
)</f>
        <v>8</v>
      </c>
      <c r="E3" s="54">
        <f t="array" ref="E3">SUMPRODUCT(
  INDEX('User-Product'!$B$2:$J$43,,MATCH($A3,'User-Product'!$B$1:$J$1,0)),
  INDEX('User-Product'!$B$2:$J$43,,MATCH(E$1,'User-Product'!$B$1:$J$1,0))
)</f>
        <v>8</v>
      </c>
      <c r="F3" s="54">
        <f t="array" ref="F3">SUMPRODUCT(
  INDEX('User-Product'!$B$2:$J$43,,MATCH($A3,'User-Product'!$B$1:$J$1,0)),
  INDEX('User-Product'!$B$2:$J$43,,MATCH(F$1,'User-Product'!$B$1:$J$1,0))
)</f>
        <v>8</v>
      </c>
      <c r="G3" s="54">
        <f t="array" ref="G3">SUMPRODUCT(
  INDEX('User-Product'!$B$2:$J$43,,MATCH($A3,'User-Product'!$B$1:$J$1,0)),
  INDEX('User-Product'!$B$2:$J$43,,MATCH(G$1,'User-Product'!$B$1:$J$1,0))
)</f>
        <v>8</v>
      </c>
      <c r="H3" s="54">
        <f t="array" ref="H3">SUMPRODUCT(
  INDEX('User-Product'!$B$2:$J$43,,MATCH($A3,'User-Product'!$B$1:$J$1,0)),
  INDEX('User-Product'!$B$2:$J$43,,MATCH(H$1,'User-Product'!$B$1:$J$1,0))
)</f>
        <v>4</v>
      </c>
      <c r="I3" s="54">
        <f t="array" ref="I3">SUMPRODUCT(
  INDEX('User-Product'!$B$2:$J$43,,MATCH($A3,'User-Product'!$B$1:$J$1,0)),
  INDEX('User-Product'!$B$2:$J$43,,MATCH(I$1,'User-Product'!$B$1:$J$1,0))
)</f>
        <v>5</v>
      </c>
      <c r="J3" s="54">
        <f t="array" ref="J3">SUMPRODUCT(
  INDEX('User-Product'!$B$2:$J$43,,MATCH($A3,'User-Product'!$B$1:$J$1,0)),
  INDEX('User-Product'!$B$2:$J$43,,MATCH(J$1,'User-Product'!$B$1:$J$1,0))
)</f>
        <v>10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5" t="s">
        <v>47</v>
      </c>
      <c r="B4" s="54">
        <f t="array" ref="B4">SUMPRODUCT(
  INDEX('User-Product'!$B$2:$J$43,,MATCH($A4,'User-Product'!$B$1:$J$1,0)),
  INDEX('User-Product'!$B$2:$J$43,,MATCH(B$1,'User-Product'!$B$1:$J$1,0))
)</f>
        <v>4</v>
      </c>
      <c r="C4" s="54">
        <f t="array" ref="C4">SUMPRODUCT(
  INDEX('User-Product'!$B$2:$J$43,,MATCH($A4,'User-Product'!$B$1:$J$1,0)),
  INDEX('User-Product'!$B$2:$J$43,,MATCH(C$1,'User-Product'!$B$1:$J$1,0))
)</f>
        <v>8</v>
      </c>
      <c r="D4" s="54">
        <f t="array" ref="D4">SUMPRODUCT(
  INDEX('User-Product'!$B$2:$J$43,,MATCH($A4,'User-Product'!$B$1:$J$1,0)),
  INDEX('User-Product'!$B$2:$J$43,,MATCH(D$1,'User-Product'!$B$1:$J$1,0))
)</f>
        <v>12</v>
      </c>
      <c r="E4" s="54">
        <f t="array" ref="E4">SUMPRODUCT(
  INDEX('User-Product'!$B$2:$J$43,,MATCH($A4,'User-Product'!$B$1:$J$1,0)),
  INDEX('User-Product'!$B$2:$J$43,,MATCH(E$1,'User-Product'!$B$1:$J$1,0))
)</f>
        <v>4</v>
      </c>
      <c r="F4" s="54">
        <f t="array" ref="F4">SUMPRODUCT(
  INDEX('User-Product'!$B$2:$J$43,,MATCH($A4,'User-Product'!$B$1:$J$1,0)),
  INDEX('User-Product'!$B$2:$J$43,,MATCH(F$1,'User-Product'!$B$1:$J$1,0))
)</f>
        <v>5</v>
      </c>
      <c r="G4" s="54">
        <f t="array" ref="G4">SUMPRODUCT(
  INDEX('User-Product'!$B$2:$J$43,,MATCH($A4,'User-Product'!$B$1:$J$1,0)),
  INDEX('User-Product'!$B$2:$J$43,,MATCH(G$1,'User-Product'!$B$1:$J$1,0))
)</f>
        <v>9</v>
      </c>
      <c r="H4" s="54">
        <f t="array" ref="H4">SUMPRODUCT(
  INDEX('User-Product'!$B$2:$J$43,,MATCH($A4,'User-Product'!$B$1:$J$1,0)),
  INDEX('User-Product'!$B$2:$J$43,,MATCH(H$1,'User-Product'!$B$1:$J$1,0))
)</f>
        <v>3</v>
      </c>
      <c r="I4" s="54">
        <f t="array" ref="I4">SUMPRODUCT(
  INDEX('User-Product'!$B$2:$J$43,,MATCH($A4,'User-Product'!$B$1:$J$1,0)),
  INDEX('User-Product'!$B$2:$J$43,,MATCH(I$1,'User-Product'!$B$1:$J$1,0))
)</f>
        <v>4</v>
      </c>
      <c r="J4" s="54">
        <f t="array" ref="J4">SUMPRODUCT(
  INDEX('User-Product'!$B$2:$J$43,,MATCH($A4,'User-Product'!$B$1:$J$1,0)),
  INDEX('User-Product'!$B$2:$J$43,,MATCH(J$1,'User-Product'!$B$1:$J$1,0))
)</f>
        <v>6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5" t="s">
        <v>48</v>
      </c>
      <c r="B5" s="54">
        <f t="array" ref="B5">SUMPRODUCT(
  INDEX('User-Product'!$B$2:$J$43,,MATCH($A5,'User-Product'!$B$1:$J$1,0)),
  INDEX('User-Product'!$B$2:$J$43,,MATCH(B$1,'User-Product'!$B$1:$J$1,0))
)</f>
        <v>8</v>
      </c>
      <c r="C5" s="54">
        <f t="array" ref="C5">SUMPRODUCT(
  INDEX('User-Product'!$B$2:$J$43,,MATCH($A5,'User-Product'!$B$1:$J$1,0)),
  INDEX('User-Product'!$B$2:$J$43,,MATCH(C$1,'User-Product'!$B$1:$J$1,0))
)</f>
        <v>8</v>
      </c>
      <c r="D5" s="54">
        <f t="array" ref="D5">SUMPRODUCT(
  INDEX('User-Product'!$B$2:$J$43,,MATCH($A5,'User-Product'!$B$1:$J$1,0)),
  INDEX('User-Product'!$B$2:$J$43,,MATCH(D$1,'User-Product'!$B$1:$J$1,0))
)</f>
        <v>4</v>
      </c>
      <c r="E5" s="54">
        <f t="array" ref="E5">SUMPRODUCT(
  INDEX('User-Product'!$B$2:$J$43,,MATCH($A5,'User-Product'!$B$1:$J$1,0)),
  INDEX('User-Product'!$B$2:$J$43,,MATCH(E$1,'User-Product'!$B$1:$J$1,0))
)</f>
        <v>9</v>
      </c>
      <c r="F5" s="54">
        <f t="array" ref="F5">SUMPRODUCT(
  INDEX('User-Product'!$B$2:$J$43,,MATCH($A5,'User-Product'!$B$1:$J$1,0)),
  INDEX('User-Product'!$B$2:$J$43,,MATCH(F$1,'User-Product'!$B$1:$J$1,0))
)</f>
        <v>6</v>
      </c>
      <c r="G5" s="54">
        <f t="array" ref="G5">SUMPRODUCT(
  INDEX('User-Product'!$B$2:$J$43,,MATCH($A5,'User-Product'!$B$1:$J$1,0)),
  INDEX('User-Product'!$B$2:$J$43,,MATCH(G$1,'User-Product'!$B$1:$J$1,0))
)</f>
        <v>6</v>
      </c>
      <c r="H5" s="54">
        <f t="array" ref="H5">SUMPRODUCT(
  INDEX('User-Product'!$B$2:$J$43,,MATCH($A5,'User-Product'!$B$1:$J$1,0)),
  INDEX('User-Product'!$B$2:$J$43,,MATCH(H$1,'User-Product'!$B$1:$J$1,0))
)</f>
        <v>5</v>
      </c>
      <c r="I5" s="54">
        <f t="array" ref="I5">SUMPRODUCT(
  INDEX('User-Product'!$B$2:$J$43,,MATCH($A5,'User-Product'!$B$1:$J$1,0)),
  INDEX('User-Product'!$B$2:$J$43,,MATCH(I$1,'User-Product'!$B$1:$J$1,0))
)</f>
        <v>4</v>
      </c>
      <c r="J5" s="54">
        <f t="array" ref="J5">SUMPRODUCT(
  INDEX('User-Product'!$B$2:$J$43,,MATCH($A5,'User-Product'!$B$1:$J$1,0)),
  INDEX('User-Product'!$B$2:$J$43,,MATCH(J$1,'User-Product'!$B$1:$J$1,0))
)</f>
        <v>7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5" t="s">
        <v>49</v>
      </c>
      <c r="B6" s="54">
        <f t="array" ref="B6">SUMPRODUCT(
  INDEX('User-Product'!$B$2:$J$43,,MATCH($A6,'User-Product'!$B$1:$J$1,0)),
  INDEX('User-Product'!$B$2:$J$43,,MATCH(B$1,'User-Product'!$B$1:$J$1,0))
)</f>
        <v>8</v>
      </c>
      <c r="C6" s="54">
        <f t="array" ref="C6">SUMPRODUCT(
  INDEX('User-Product'!$B$2:$J$43,,MATCH($A6,'User-Product'!$B$1:$J$1,0)),
  INDEX('User-Product'!$B$2:$J$43,,MATCH(C$1,'User-Product'!$B$1:$J$1,0))
)</f>
        <v>8</v>
      </c>
      <c r="D6" s="54">
        <f t="array" ref="D6">SUMPRODUCT(
  INDEX('User-Product'!$B$2:$J$43,,MATCH($A6,'User-Product'!$B$1:$J$1,0)),
  INDEX('User-Product'!$B$2:$J$43,,MATCH(D$1,'User-Product'!$B$1:$J$1,0))
)</f>
        <v>5</v>
      </c>
      <c r="E6" s="54">
        <f t="array" ref="E6">SUMPRODUCT(
  INDEX('User-Product'!$B$2:$J$43,,MATCH($A6,'User-Product'!$B$1:$J$1,0)),
  INDEX('User-Product'!$B$2:$J$43,,MATCH(E$1,'User-Product'!$B$1:$J$1,0))
)</f>
        <v>6</v>
      </c>
      <c r="F6" s="54">
        <f t="array" ref="F6">SUMPRODUCT(
  INDEX('User-Product'!$B$2:$J$43,,MATCH($A6,'User-Product'!$B$1:$J$1,0)),
  INDEX('User-Product'!$B$2:$J$43,,MATCH(F$1,'User-Product'!$B$1:$J$1,0))
)</f>
        <v>15</v>
      </c>
      <c r="G6" s="54">
        <f t="array" ref="G6">SUMPRODUCT(
  INDEX('User-Product'!$B$2:$J$43,,MATCH($A6,'User-Product'!$B$1:$J$1,0)),
  INDEX('User-Product'!$B$2:$J$43,,MATCH(G$1,'User-Product'!$B$1:$J$1,0))
)</f>
        <v>11</v>
      </c>
      <c r="H6" s="54">
        <f t="array" ref="H6">SUMPRODUCT(
  INDEX('User-Product'!$B$2:$J$43,,MATCH($A6,'User-Product'!$B$1:$J$1,0)),
  INDEX('User-Product'!$B$2:$J$43,,MATCH(H$1,'User-Product'!$B$1:$J$1,0))
)</f>
        <v>5</v>
      </c>
      <c r="I6" s="54">
        <f t="array" ref="I6">SUMPRODUCT(
  INDEX('User-Product'!$B$2:$J$43,,MATCH($A6,'User-Product'!$B$1:$J$1,0)),
  INDEX('User-Product'!$B$2:$J$43,,MATCH(I$1,'User-Product'!$B$1:$J$1,0))
)</f>
        <v>6</v>
      </c>
      <c r="J6" s="54">
        <f t="array" ref="J6">SUMPRODUCT(
  INDEX('User-Product'!$B$2:$J$43,,MATCH($A6,'User-Product'!$B$1:$J$1,0)),
  INDEX('User-Product'!$B$2:$J$43,,MATCH(J$1,'User-Product'!$B$1:$J$1,0))
)</f>
        <v>11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5" t="s">
        <v>50</v>
      </c>
      <c r="B7" s="54">
        <f t="array" ref="B7">SUMPRODUCT(
  INDEX('User-Product'!$B$2:$J$43,,MATCH($A7,'User-Product'!$B$1:$J$1,0)),
  INDEX('User-Product'!$B$2:$J$43,,MATCH(B$1,'User-Product'!$B$1:$J$1,0))
)</f>
        <v>11</v>
      </c>
      <c r="C7" s="54">
        <f t="array" ref="C7">SUMPRODUCT(
  INDEX('User-Product'!$B$2:$J$43,,MATCH($A7,'User-Product'!$B$1:$J$1,0)),
  INDEX('User-Product'!$B$2:$J$43,,MATCH(C$1,'User-Product'!$B$1:$J$1,0))
)</f>
        <v>8</v>
      </c>
      <c r="D7" s="54">
        <f t="array" ref="D7">SUMPRODUCT(
  INDEX('User-Product'!$B$2:$J$43,,MATCH($A7,'User-Product'!$B$1:$J$1,0)),
  INDEX('User-Product'!$B$2:$J$43,,MATCH(D$1,'User-Product'!$B$1:$J$1,0))
)</f>
        <v>9</v>
      </c>
      <c r="E7" s="54">
        <f t="array" ref="E7">SUMPRODUCT(
  INDEX('User-Product'!$B$2:$J$43,,MATCH($A7,'User-Product'!$B$1:$J$1,0)),
  INDEX('User-Product'!$B$2:$J$43,,MATCH(E$1,'User-Product'!$B$1:$J$1,0))
)</f>
        <v>6</v>
      </c>
      <c r="F7" s="54">
        <f t="array" ref="F7">SUMPRODUCT(
  INDEX('User-Product'!$B$2:$J$43,,MATCH($A7,'User-Product'!$B$1:$J$1,0)),
  INDEX('User-Product'!$B$2:$J$43,,MATCH(F$1,'User-Product'!$B$1:$J$1,0))
)</f>
        <v>11</v>
      </c>
      <c r="G7" s="54">
        <f t="array" ref="G7">SUMPRODUCT(
  INDEX('User-Product'!$B$2:$J$43,,MATCH($A7,'User-Product'!$B$1:$J$1,0)),
  INDEX('User-Product'!$B$2:$J$43,,MATCH(G$1,'User-Product'!$B$1:$J$1,0))
)</f>
        <v>21</v>
      </c>
      <c r="H7" s="54">
        <f t="array" ref="H7">SUMPRODUCT(
  INDEX('User-Product'!$B$2:$J$43,,MATCH($A7,'User-Product'!$B$1:$J$1,0)),
  INDEX('User-Product'!$B$2:$J$43,,MATCH(H$1,'User-Product'!$B$1:$J$1,0))
)</f>
        <v>7</v>
      </c>
      <c r="I7" s="54">
        <f t="array" ref="I7">SUMPRODUCT(
  INDEX('User-Product'!$B$2:$J$43,,MATCH($A7,'User-Product'!$B$1:$J$1,0)),
  INDEX('User-Product'!$B$2:$J$43,,MATCH(I$1,'User-Product'!$B$1:$J$1,0))
)</f>
        <v>5</v>
      </c>
      <c r="J7" s="54">
        <f t="array" ref="J7">SUMPRODUCT(
  INDEX('User-Product'!$B$2:$J$43,,MATCH($A7,'User-Product'!$B$1:$J$1,0)),
  INDEX('User-Product'!$B$2:$J$43,,MATCH(J$1,'User-Product'!$B$1:$J$1,0))
)</f>
        <v>11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5" t="s">
        <v>51</v>
      </c>
      <c r="B8" s="54">
        <f t="array" ref="B8">SUMPRODUCT(
  INDEX('User-Product'!$B$2:$J$43,,MATCH($A8,'User-Product'!$B$1:$J$1,0)),
  INDEX('User-Product'!$B$2:$J$43,,MATCH(B$1,'User-Product'!$B$1:$J$1,0))
)</f>
        <v>8</v>
      </c>
      <c r="C8" s="54">
        <f t="array" ref="C8">SUMPRODUCT(
  INDEX('User-Product'!$B$2:$J$43,,MATCH($A8,'User-Product'!$B$1:$J$1,0)),
  INDEX('User-Product'!$B$2:$J$43,,MATCH(C$1,'User-Product'!$B$1:$J$1,0))
)</f>
        <v>4</v>
      </c>
      <c r="D8" s="54">
        <f t="array" ref="D8">SUMPRODUCT(
  INDEX('User-Product'!$B$2:$J$43,,MATCH($A8,'User-Product'!$B$1:$J$1,0)),
  INDEX('User-Product'!$B$2:$J$43,,MATCH(D$1,'User-Product'!$B$1:$J$1,0))
)</f>
        <v>3</v>
      </c>
      <c r="E8" s="54">
        <f t="array" ref="E8">SUMPRODUCT(
  INDEX('User-Product'!$B$2:$J$43,,MATCH($A8,'User-Product'!$B$1:$J$1,0)),
  INDEX('User-Product'!$B$2:$J$43,,MATCH(E$1,'User-Product'!$B$1:$J$1,0))
)</f>
        <v>5</v>
      </c>
      <c r="F8" s="54">
        <f t="array" ref="F8">SUMPRODUCT(
  INDEX('User-Product'!$B$2:$J$43,,MATCH($A8,'User-Product'!$B$1:$J$1,0)),
  INDEX('User-Product'!$B$2:$J$43,,MATCH(F$1,'User-Product'!$B$1:$J$1,0))
)</f>
        <v>5</v>
      </c>
      <c r="G8" s="54">
        <f t="array" ref="G8">SUMPRODUCT(
  INDEX('User-Product'!$B$2:$J$43,,MATCH($A8,'User-Product'!$B$1:$J$1,0)),
  INDEX('User-Product'!$B$2:$J$43,,MATCH(G$1,'User-Product'!$B$1:$J$1,0))
)</f>
        <v>7</v>
      </c>
      <c r="H8" s="54">
        <f t="array" ref="H8">SUMPRODUCT(
  INDEX('User-Product'!$B$2:$J$43,,MATCH($A8,'User-Product'!$B$1:$J$1,0)),
  INDEX('User-Product'!$B$2:$J$43,,MATCH(H$1,'User-Product'!$B$1:$J$1,0))
)</f>
        <v>9</v>
      </c>
      <c r="I8" s="54">
        <f t="array" ref="I8">SUMPRODUCT(
  INDEX('User-Product'!$B$2:$J$43,,MATCH($A8,'User-Product'!$B$1:$J$1,0)),
  INDEX('User-Product'!$B$2:$J$43,,MATCH(I$1,'User-Product'!$B$1:$J$1,0))
)</f>
        <v>5</v>
      </c>
      <c r="J8" s="54">
        <f t="array" ref="J8">SUMPRODUCT(
  INDEX('User-Product'!$B$2:$J$43,,MATCH($A8,'User-Product'!$B$1:$J$1,0)),
  INDEX('User-Product'!$B$2:$J$43,,MATCH(J$1,'User-Product'!$B$1:$J$1,0))
)</f>
        <v>4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5" t="s">
        <v>52</v>
      </c>
      <c r="B9" s="54">
        <f t="array" ref="B9">SUMPRODUCT(
  INDEX('User-Product'!$B$2:$J$43,,MATCH($A9,'User-Product'!$B$1:$J$1,0)),
  INDEX('User-Product'!$B$2:$J$43,,MATCH(B$1,'User-Product'!$B$1:$J$1,0))
)</f>
        <v>6</v>
      </c>
      <c r="C9" s="54">
        <f t="array" ref="C9">SUMPRODUCT(
  INDEX('User-Product'!$B$2:$J$43,,MATCH($A9,'User-Product'!$B$1:$J$1,0)),
  INDEX('User-Product'!$B$2:$J$43,,MATCH(C$1,'User-Product'!$B$1:$J$1,0))
)</f>
        <v>5</v>
      </c>
      <c r="D9" s="54">
        <f t="array" ref="D9">SUMPRODUCT(
  INDEX('User-Product'!$B$2:$J$43,,MATCH($A9,'User-Product'!$B$1:$J$1,0)),
  INDEX('User-Product'!$B$2:$J$43,,MATCH(D$1,'User-Product'!$B$1:$J$1,0))
)</f>
        <v>4</v>
      </c>
      <c r="E9" s="54">
        <f t="array" ref="E9">SUMPRODUCT(
  INDEX('User-Product'!$B$2:$J$43,,MATCH($A9,'User-Product'!$B$1:$J$1,0)),
  INDEX('User-Product'!$B$2:$J$43,,MATCH(E$1,'User-Product'!$B$1:$J$1,0))
)</f>
        <v>4</v>
      </c>
      <c r="F9" s="54">
        <f t="array" ref="F9">SUMPRODUCT(
  INDEX('User-Product'!$B$2:$J$43,,MATCH($A9,'User-Product'!$B$1:$J$1,0)),
  INDEX('User-Product'!$B$2:$J$43,,MATCH(F$1,'User-Product'!$B$1:$J$1,0))
)</f>
        <v>6</v>
      </c>
      <c r="G9" s="54">
        <f t="array" ref="G9">SUMPRODUCT(
  INDEX('User-Product'!$B$2:$J$43,,MATCH($A9,'User-Product'!$B$1:$J$1,0)),
  INDEX('User-Product'!$B$2:$J$43,,MATCH(G$1,'User-Product'!$B$1:$J$1,0))
)</f>
        <v>5</v>
      </c>
      <c r="H9" s="54">
        <f t="array" ref="H9">SUMPRODUCT(
  INDEX('User-Product'!$B$2:$J$43,,MATCH($A9,'User-Product'!$B$1:$J$1,0)),
  INDEX('User-Product'!$B$2:$J$43,,MATCH(H$1,'User-Product'!$B$1:$J$1,0))
)</f>
        <v>5</v>
      </c>
      <c r="I9" s="54">
        <f t="array" ref="I9">SUMPRODUCT(
  INDEX('User-Product'!$B$2:$J$43,,MATCH($A9,'User-Product'!$B$1:$J$1,0)),
  INDEX('User-Product'!$B$2:$J$43,,MATCH(I$1,'User-Product'!$B$1:$J$1,0))
)</f>
        <v>8</v>
      </c>
      <c r="J9" s="54">
        <f t="array" ref="J9">SUMPRODUCT(
  INDEX('User-Product'!$B$2:$J$43,,MATCH($A9,'User-Product'!$B$1:$J$1,0)),
  INDEX('User-Product'!$B$2:$J$43,,MATCH(J$1,'User-Product'!$B$1:$J$1,0))
)</f>
        <v>5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5" t="s">
        <v>53</v>
      </c>
      <c r="B10" s="54">
        <f t="array" ref="B10">SUMPRODUCT(
  INDEX('User-Product'!$B$2:$J$43,,MATCH($A10,'User-Product'!$B$1:$J$1,0)),
  INDEX('User-Product'!$B$2:$J$43,,MATCH(B$1,'User-Product'!$B$1:$J$1,0))
)</f>
        <v>7</v>
      </c>
      <c r="C10" s="54">
        <f t="array" ref="C10">SUMPRODUCT(
  INDEX('User-Product'!$B$2:$J$43,,MATCH($A10,'User-Product'!$B$1:$J$1,0)),
  INDEX('User-Product'!$B$2:$J$43,,MATCH(C$1,'User-Product'!$B$1:$J$1,0))
)</f>
        <v>10</v>
      </c>
      <c r="D10" s="54">
        <f t="array" ref="D10">SUMPRODUCT(
  INDEX('User-Product'!$B$2:$J$43,,MATCH($A10,'User-Product'!$B$1:$J$1,0)),
  INDEX('User-Product'!$B$2:$J$43,,MATCH(D$1,'User-Product'!$B$1:$J$1,0))
)</f>
        <v>6</v>
      </c>
      <c r="E10" s="54">
        <f t="array" ref="E10">SUMPRODUCT(
  INDEX('User-Product'!$B$2:$J$43,,MATCH($A10,'User-Product'!$B$1:$J$1,0)),
  INDEX('User-Product'!$B$2:$J$43,,MATCH(E$1,'User-Product'!$B$1:$J$1,0))
)</f>
        <v>7</v>
      </c>
      <c r="F10" s="54">
        <f t="array" ref="F10">SUMPRODUCT(
  INDEX('User-Product'!$B$2:$J$43,,MATCH($A10,'User-Product'!$B$1:$J$1,0)),
  INDEX('User-Product'!$B$2:$J$43,,MATCH(F$1,'User-Product'!$B$1:$J$1,0))
)</f>
        <v>11</v>
      </c>
      <c r="G10" s="54">
        <f t="array" ref="G10">SUMPRODUCT(
  INDEX('User-Product'!$B$2:$J$43,,MATCH($A10,'User-Product'!$B$1:$J$1,0)),
  INDEX('User-Product'!$B$2:$J$43,,MATCH(G$1,'User-Product'!$B$1:$J$1,0))
)</f>
        <v>11</v>
      </c>
      <c r="H10" s="54">
        <f t="array" ref="H10">SUMPRODUCT(
  INDEX('User-Product'!$B$2:$J$43,,MATCH($A10,'User-Product'!$B$1:$J$1,0)),
  INDEX('User-Product'!$B$2:$J$43,,MATCH(H$1,'User-Product'!$B$1:$J$1,0))
)</f>
        <v>4</v>
      </c>
      <c r="I10" s="54">
        <f t="array" ref="I10">SUMPRODUCT(
  INDEX('User-Product'!$B$2:$J$43,,MATCH($A10,'User-Product'!$B$1:$J$1,0)),
  INDEX('User-Product'!$B$2:$J$43,,MATCH(I$1,'User-Product'!$B$1:$J$1,0))
)</f>
        <v>5</v>
      </c>
      <c r="J10" s="54">
        <f t="array" ref="J10">SUMPRODUCT(
  INDEX('User-Product'!$B$2:$J$43,,MATCH($A10,'User-Product'!$B$1:$J$1,0)),
  INDEX('User-Product'!$B$2:$J$43,,MATCH(J$1,'User-Product'!$B$1:$J$1,0))
)</f>
        <v>16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 t="str">
        <f t="shared" ref="A13:A14" si="1">C11</f>
        <v/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 t="str">
        <f t="shared" si="1"/>
        <v/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conditionalFormatting sqref="B2:J10">
    <cfRule type="expression" dxfId="5" priority="1">
      <formula>$A2=B$1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.0"/>
    <col customWidth="1" min="2" max="2" width="5.38"/>
    <col customWidth="1" min="3" max="3" width="6.63"/>
    <col customWidth="1" min="4" max="4" width="14.63"/>
    <col customWidth="1" min="5" max="5" width="18.25"/>
    <col customWidth="1" min="6" max="6" width="17.13"/>
    <col customWidth="1" min="8" max="8" width="17.5"/>
    <col customWidth="1" min="9" max="9" width="25.63"/>
    <col customWidth="1" min="10" max="10" width="19.75"/>
    <col customWidth="1" min="11" max="11" width="14.38"/>
  </cols>
  <sheetData>
    <row r="1">
      <c r="A1" s="56" t="s">
        <v>58</v>
      </c>
      <c r="B1" s="56" t="s">
        <v>59</v>
      </c>
      <c r="C1" s="56" t="s">
        <v>105</v>
      </c>
      <c r="D1" s="56" t="s">
        <v>106</v>
      </c>
      <c r="E1" s="56" t="s">
        <v>107</v>
      </c>
      <c r="F1" s="56" t="s">
        <v>108</v>
      </c>
      <c r="G1" s="56" t="s">
        <v>109</v>
      </c>
      <c r="H1" s="56" t="s">
        <v>110</v>
      </c>
      <c r="I1" s="56" t="s">
        <v>111</v>
      </c>
      <c r="J1" s="56" t="s">
        <v>112</v>
      </c>
      <c r="K1" s="56" t="s">
        <v>113</v>
      </c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>
      <c r="A2" s="57" t="s">
        <v>77</v>
      </c>
      <c r="B2" s="57" t="s">
        <v>77</v>
      </c>
      <c r="C2" s="58">
        <v>11.0</v>
      </c>
      <c r="D2" s="58">
        <v>22.0</v>
      </c>
      <c r="E2" s="58">
        <v>1.0</v>
      </c>
      <c r="F2" s="58">
        <v>55.0</v>
      </c>
      <c r="G2" s="58">
        <v>2.0</v>
      </c>
      <c r="H2" s="58">
        <v>0.577464788732394</v>
      </c>
      <c r="I2" s="58">
        <v>0.634146341463414</v>
      </c>
      <c r="J2" s="58">
        <v>0.0</v>
      </c>
      <c r="K2" s="58">
        <v>0.0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>
      <c r="A3" s="57" t="s">
        <v>65</v>
      </c>
      <c r="B3" s="57" t="s">
        <v>65</v>
      </c>
      <c r="C3" s="58">
        <v>17.0</v>
      </c>
      <c r="D3" s="58">
        <v>34.0</v>
      </c>
      <c r="E3" s="58">
        <v>1.0</v>
      </c>
      <c r="F3" s="58">
        <v>136.0</v>
      </c>
      <c r="G3" s="58">
        <v>2.0</v>
      </c>
      <c r="H3" s="58">
        <v>0.63076923076923</v>
      </c>
      <c r="I3" s="58">
        <v>0.707317073170731</v>
      </c>
      <c r="J3" s="58">
        <v>0.0</v>
      </c>
      <c r="K3" s="58">
        <v>0.0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>
      <c r="A4" s="57" t="s">
        <v>96</v>
      </c>
      <c r="B4" s="57" t="s">
        <v>96</v>
      </c>
      <c r="C4" s="58">
        <v>17.0</v>
      </c>
      <c r="D4" s="58">
        <v>34.0</v>
      </c>
      <c r="E4" s="58">
        <v>1.0</v>
      </c>
      <c r="F4" s="58">
        <v>136.0</v>
      </c>
      <c r="G4" s="58">
        <v>2.0</v>
      </c>
      <c r="H4" s="58">
        <v>0.63076923076923</v>
      </c>
      <c r="I4" s="58">
        <v>0.707317073170731</v>
      </c>
      <c r="J4" s="58">
        <v>0.0</v>
      </c>
      <c r="K4" s="58">
        <v>0.0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>
      <c r="A5" s="57" t="s">
        <v>101</v>
      </c>
      <c r="B5" s="57" t="s">
        <v>101</v>
      </c>
      <c r="C5" s="58">
        <v>17.0</v>
      </c>
      <c r="D5" s="58">
        <v>34.0</v>
      </c>
      <c r="E5" s="58">
        <v>1.0</v>
      </c>
      <c r="F5" s="58">
        <v>136.0</v>
      </c>
      <c r="G5" s="58">
        <v>2.0</v>
      </c>
      <c r="H5" s="58">
        <v>0.63076923076923</v>
      </c>
      <c r="I5" s="58">
        <v>0.707317073170731</v>
      </c>
      <c r="J5" s="58">
        <v>0.0</v>
      </c>
      <c r="K5" s="58">
        <v>0.0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>
      <c r="A6" s="57" t="s">
        <v>72</v>
      </c>
      <c r="B6" s="57" t="s">
        <v>72</v>
      </c>
      <c r="C6" s="58">
        <v>20.0</v>
      </c>
      <c r="D6" s="58">
        <v>40.0</v>
      </c>
      <c r="E6" s="58">
        <v>1.0</v>
      </c>
      <c r="F6" s="58">
        <v>190.0</v>
      </c>
      <c r="G6" s="58">
        <v>2.0</v>
      </c>
      <c r="H6" s="58">
        <v>0.661290322580645</v>
      </c>
      <c r="I6" s="58">
        <v>0.74390243902439</v>
      </c>
      <c r="J6" s="58">
        <v>0.0</v>
      </c>
      <c r="K6" s="58">
        <v>0.0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>
      <c r="A7" s="57" t="s">
        <v>74</v>
      </c>
      <c r="B7" s="57" t="s">
        <v>74</v>
      </c>
      <c r="C7" s="58">
        <v>20.0</v>
      </c>
      <c r="D7" s="58">
        <v>40.0</v>
      </c>
      <c r="E7" s="58">
        <v>1.0</v>
      </c>
      <c r="F7" s="58">
        <v>190.0</v>
      </c>
      <c r="G7" s="58">
        <v>2.0</v>
      </c>
      <c r="H7" s="58">
        <v>0.661290322580645</v>
      </c>
      <c r="I7" s="58">
        <v>0.74390243902439</v>
      </c>
      <c r="J7" s="58">
        <v>0.0</v>
      </c>
      <c r="K7" s="58">
        <v>0.0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>
      <c r="A8" s="57" t="s">
        <v>82</v>
      </c>
      <c r="B8" s="57" t="s">
        <v>82</v>
      </c>
      <c r="C8" s="58">
        <v>8.0</v>
      </c>
      <c r="D8" s="58">
        <v>16.0</v>
      </c>
      <c r="E8" s="58">
        <v>1.0</v>
      </c>
      <c r="F8" s="58">
        <v>28.0</v>
      </c>
      <c r="G8" s="58">
        <v>2.0</v>
      </c>
      <c r="H8" s="58">
        <v>0.554054054054054</v>
      </c>
      <c r="I8" s="58">
        <v>0.597560975609756</v>
      </c>
      <c r="J8" s="58">
        <v>0.0</v>
      </c>
      <c r="K8" s="58">
        <v>1.0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>
      <c r="A9" s="57" t="s">
        <v>73</v>
      </c>
      <c r="B9" s="57" t="s">
        <v>73</v>
      </c>
      <c r="C9" s="58">
        <v>21.0</v>
      </c>
      <c r="D9" s="58">
        <v>42.0</v>
      </c>
      <c r="E9" s="58">
        <v>1.0</v>
      </c>
      <c r="F9" s="58">
        <v>210.0</v>
      </c>
      <c r="G9" s="58">
        <v>2.0</v>
      </c>
      <c r="H9" s="58">
        <v>0.672131147540983</v>
      </c>
      <c r="I9" s="58">
        <v>0.756097560975609</v>
      </c>
      <c r="J9" s="58">
        <v>0.0</v>
      </c>
      <c r="K9" s="58">
        <v>1.0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>
      <c r="A10" s="57" t="s">
        <v>83</v>
      </c>
      <c r="B10" s="57" t="s">
        <v>83</v>
      </c>
      <c r="C10" s="58">
        <v>21.0</v>
      </c>
      <c r="D10" s="58">
        <v>42.0</v>
      </c>
      <c r="E10" s="58">
        <v>1.0</v>
      </c>
      <c r="F10" s="58">
        <v>210.0</v>
      </c>
      <c r="G10" s="58">
        <v>2.0</v>
      </c>
      <c r="H10" s="58">
        <v>0.672131147540983</v>
      </c>
      <c r="I10" s="58">
        <v>0.756097560975609</v>
      </c>
      <c r="J10" s="58">
        <v>0.0</v>
      </c>
      <c r="K10" s="58">
        <v>1.0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>
      <c r="A11" s="57" t="s">
        <v>84</v>
      </c>
      <c r="B11" s="57" t="s">
        <v>84</v>
      </c>
      <c r="C11" s="58">
        <v>21.0</v>
      </c>
      <c r="D11" s="58">
        <v>42.0</v>
      </c>
      <c r="E11" s="58">
        <v>1.0</v>
      </c>
      <c r="F11" s="58">
        <v>210.0</v>
      </c>
      <c r="G11" s="58">
        <v>2.0</v>
      </c>
      <c r="H11" s="58">
        <v>0.672131147540983</v>
      </c>
      <c r="I11" s="58">
        <v>0.756097560975609</v>
      </c>
      <c r="J11" s="58">
        <v>0.0</v>
      </c>
      <c r="K11" s="58">
        <v>1.0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>
      <c r="A12" s="57" t="s">
        <v>86</v>
      </c>
      <c r="B12" s="57" t="s">
        <v>86</v>
      </c>
      <c r="C12" s="58">
        <v>21.0</v>
      </c>
      <c r="D12" s="58">
        <v>42.0</v>
      </c>
      <c r="E12" s="58">
        <v>1.0</v>
      </c>
      <c r="F12" s="58">
        <v>210.0</v>
      </c>
      <c r="G12" s="58">
        <v>2.0</v>
      </c>
      <c r="H12" s="58">
        <v>0.672131147540983</v>
      </c>
      <c r="I12" s="58">
        <v>0.756097560975609</v>
      </c>
      <c r="J12" s="58">
        <v>0.0</v>
      </c>
      <c r="K12" s="58">
        <v>1.0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>
      <c r="A13" s="57" t="s">
        <v>87</v>
      </c>
      <c r="B13" s="57" t="s">
        <v>87</v>
      </c>
      <c r="C13" s="58">
        <v>21.0</v>
      </c>
      <c r="D13" s="58">
        <v>42.0</v>
      </c>
      <c r="E13" s="58">
        <v>1.0</v>
      </c>
      <c r="F13" s="58">
        <v>210.0</v>
      </c>
      <c r="G13" s="58">
        <v>2.0</v>
      </c>
      <c r="H13" s="58">
        <v>0.672131147540983</v>
      </c>
      <c r="I13" s="58">
        <v>0.756097560975609</v>
      </c>
      <c r="J13" s="58">
        <v>0.0</v>
      </c>
      <c r="K13" s="58">
        <v>1.0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>
      <c r="A14" s="57" t="s">
        <v>97</v>
      </c>
      <c r="B14" s="57" t="s">
        <v>97</v>
      </c>
      <c r="C14" s="58">
        <v>21.0</v>
      </c>
      <c r="D14" s="58">
        <v>42.0</v>
      </c>
      <c r="E14" s="58">
        <v>1.0</v>
      </c>
      <c r="F14" s="58">
        <v>210.0</v>
      </c>
      <c r="G14" s="58">
        <v>2.0</v>
      </c>
      <c r="H14" s="58">
        <v>0.672131147540983</v>
      </c>
      <c r="I14" s="58">
        <v>0.756097560975609</v>
      </c>
      <c r="J14" s="58">
        <v>0.0</v>
      </c>
      <c r="K14" s="58">
        <v>1.0</v>
      </c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>
      <c r="A15" s="57" t="s">
        <v>99</v>
      </c>
      <c r="B15" s="57" t="s">
        <v>99</v>
      </c>
      <c r="C15" s="58">
        <v>21.0</v>
      </c>
      <c r="D15" s="58">
        <v>42.0</v>
      </c>
      <c r="E15" s="58">
        <v>1.0</v>
      </c>
      <c r="F15" s="58">
        <v>210.0</v>
      </c>
      <c r="G15" s="58">
        <v>2.0</v>
      </c>
      <c r="H15" s="58">
        <v>0.672131147540983</v>
      </c>
      <c r="I15" s="58">
        <v>0.756097560975609</v>
      </c>
      <c r="J15" s="58">
        <v>0.0</v>
      </c>
      <c r="K15" s="58">
        <v>1.0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>
      <c r="A16" s="57" t="s">
        <v>75</v>
      </c>
      <c r="B16" s="57" t="s">
        <v>75</v>
      </c>
      <c r="C16" s="58">
        <v>19.0</v>
      </c>
      <c r="D16" s="58">
        <v>58.0</v>
      </c>
      <c r="E16" s="58">
        <v>0.994152046783625</v>
      </c>
      <c r="F16" s="58">
        <v>170.0</v>
      </c>
      <c r="G16" s="58">
        <v>2.0</v>
      </c>
      <c r="H16" s="58">
        <v>0.65079365079365</v>
      </c>
      <c r="I16" s="58">
        <v>0.73170731707317</v>
      </c>
      <c r="J16" s="58">
        <v>0.0476190476190476</v>
      </c>
      <c r="K16" s="58">
        <v>0.0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>
      <c r="A17" s="57" t="s">
        <v>67</v>
      </c>
      <c r="B17" s="57" t="s">
        <v>67</v>
      </c>
      <c r="C17" s="58">
        <v>25.0</v>
      </c>
      <c r="D17" s="58">
        <v>70.0</v>
      </c>
      <c r="E17" s="58">
        <v>0.91</v>
      </c>
      <c r="F17" s="58">
        <v>273.0</v>
      </c>
      <c r="G17" s="58">
        <v>2.0</v>
      </c>
      <c r="H17" s="58">
        <v>0.719298245614035</v>
      </c>
      <c r="I17" s="58">
        <v>0.804878048780487</v>
      </c>
      <c r="J17" s="58">
        <v>1.61012334758464</v>
      </c>
      <c r="K17" s="58">
        <v>0.0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>
      <c r="A18" s="57" t="s">
        <v>71</v>
      </c>
      <c r="B18" s="57" t="s">
        <v>71</v>
      </c>
      <c r="C18" s="58">
        <v>26.0</v>
      </c>
      <c r="D18" s="58">
        <v>98.0</v>
      </c>
      <c r="E18" s="58">
        <v>0.901538461538461</v>
      </c>
      <c r="F18" s="58">
        <v>293.0</v>
      </c>
      <c r="G18" s="58">
        <v>2.0</v>
      </c>
      <c r="H18" s="58">
        <v>0.732142857142857</v>
      </c>
      <c r="I18" s="58">
        <v>0.817073170731707</v>
      </c>
      <c r="J18" s="58">
        <v>1.8938535063148</v>
      </c>
      <c r="K18" s="58">
        <v>0.0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>
      <c r="A19" s="57" t="s">
        <v>85</v>
      </c>
      <c r="B19" s="57" t="s">
        <v>85</v>
      </c>
      <c r="C19" s="58">
        <v>26.0</v>
      </c>
      <c r="D19" s="58">
        <v>98.0</v>
      </c>
      <c r="E19" s="58">
        <v>0.901538461538461</v>
      </c>
      <c r="F19" s="58">
        <v>293.0</v>
      </c>
      <c r="G19" s="58">
        <v>2.0</v>
      </c>
      <c r="H19" s="58">
        <v>0.732142857142857</v>
      </c>
      <c r="I19" s="58">
        <v>0.817073170731707</v>
      </c>
      <c r="J19" s="58">
        <v>1.8938535063148</v>
      </c>
      <c r="K19" s="58">
        <v>0.0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>
      <c r="A20" s="57" t="s">
        <v>64</v>
      </c>
      <c r="B20" s="57" t="s">
        <v>64</v>
      </c>
      <c r="C20" s="58">
        <v>23.0</v>
      </c>
      <c r="D20" s="58">
        <v>62.0</v>
      </c>
      <c r="E20" s="58">
        <v>0.881422924901185</v>
      </c>
      <c r="F20" s="58">
        <v>223.0</v>
      </c>
      <c r="G20" s="58">
        <v>2.0</v>
      </c>
      <c r="H20" s="58">
        <v>0.694915254237288</v>
      </c>
      <c r="I20" s="58">
        <v>0.780487804878048</v>
      </c>
      <c r="J20" s="58">
        <v>2.45923026921478</v>
      </c>
      <c r="K20" s="58">
        <v>0.0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>
      <c r="A21" s="57" t="s">
        <v>78</v>
      </c>
      <c r="B21" s="57" t="s">
        <v>78</v>
      </c>
      <c r="C21" s="58">
        <v>23.0</v>
      </c>
      <c r="D21" s="58">
        <v>62.0</v>
      </c>
      <c r="E21" s="58">
        <v>0.881422924901185</v>
      </c>
      <c r="F21" s="58">
        <v>223.0</v>
      </c>
      <c r="G21" s="58">
        <v>2.0</v>
      </c>
      <c r="H21" s="58">
        <v>0.694915254237288</v>
      </c>
      <c r="I21" s="58">
        <v>0.780487804878048</v>
      </c>
      <c r="J21" s="58">
        <v>2.45923026921478</v>
      </c>
      <c r="K21" s="58">
        <v>0.0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>
      <c r="A22" s="57" t="s">
        <v>93</v>
      </c>
      <c r="B22" s="57" t="s">
        <v>93</v>
      </c>
      <c r="C22" s="58">
        <v>21.0</v>
      </c>
      <c r="D22" s="58">
        <v>56.0</v>
      </c>
      <c r="E22" s="58">
        <v>0.852380952380952</v>
      </c>
      <c r="F22" s="58">
        <v>179.0</v>
      </c>
      <c r="G22" s="58">
        <v>2.0</v>
      </c>
      <c r="H22" s="58">
        <v>0.672131147540983</v>
      </c>
      <c r="I22" s="58">
        <v>0.756097560975609</v>
      </c>
      <c r="J22" s="58">
        <v>2.64282722781174</v>
      </c>
      <c r="K22" s="58">
        <v>0.0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</row>
    <row r="23">
      <c r="A23" s="57" t="s">
        <v>94</v>
      </c>
      <c r="B23" s="57" t="s">
        <v>94</v>
      </c>
      <c r="C23" s="58">
        <v>26.0</v>
      </c>
      <c r="D23" s="58">
        <v>92.0</v>
      </c>
      <c r="E23" s="58">
        <v>0.852307692307692</v>
      </c>
      <c r="F23" s="58">
        <v>277.0</v>
      </c>
      <c r="G23" s="58">
        <v>2.0</v>
      </c>
      <c r="H23" s="58">
        <v>0.732142857142857</v>
      </c>
      <c r="I23" s="58">
        <v>0.817073170731707</v>
      </c>
      <c r="J23" s="58">
        <v>3.42503058087423</v>
      </c>
      <c r="K23" s="58">
        <v>0.0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>
      <c r="A24" s="57" t="s">
        <v>95</v>
      </c>
      <c r="B24" s="57" t="s">
        <v>95</v>
      </c>
      <c r="C24" s="58">
        <v>26.0</v>
      </c>
      <c r="D24" s="58">
        <v>92.0</v>
      </c>
      <c r="E24" s="58">
        <v>0.852307692307692</v>
      </c>
      <c r="F24" s="58">
        <v>277.0</v>
      </c>
      <c r="G24" s="58">
        <v>2.0</v>
      </c>
      <c r="H24" s="58">
        <v>0.732142857142857</v>
      </c>
      <c r="I24" s="58">
        <v>0.817073170731707</v>
      </c>
      <c r="J24" s="58">
        <v>3.42503058087423</v>
      </c>
      <c r="K24" s="58">
        <v>0.0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>
      <c r="A25" s="57" t="s">
        <v>76</v>
      </c>
      <c r="B25" s="57" t="s">
        <v>76</v>
      </c>
      <c r="C25" s="58">
        <v>24.0</v>
      </c>
      <c r="D25" s="58">
        <v>70.0</v>
      </c>
      <c r="E25" s="58">
        <v>0.826086956521739</v>
      </c>
      <c r="F25" s="58">
        <v>228.0</v>
      </c>
      <c r="G25" s="58">
        <v>2.0</v>
      </c>
      <c r="H25" s="58">
        <v>0.706896551724137</v>
      </c>
      <c r="I25" s="58">
        <v>0.792682926829268</v>
      </c>
      <c r="J25" s="58">
        <v>3.90610920727019</v>
      </c>
      <c r="K25" s="58">
        <v>0.0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>
      <c r="A26" s="57" t="s">
        <v>63</v>
      </c>
      <c r="B26" s="57" t="s">
        <v>63</v>
      </c>
      <c r="C26" s="58">
        <v>31.0</v>
      </c>
      <c r="D26" s="58">
        <v>86.0</v>
      </c>
      <c r="E26" s="58">
        <v>0.808602150537634</v>
      </c>
      <c r="F26" s="58">
        <v>376.0</v>
      </c>
      <c r="G26" s="58">
        <v>2.0</v>
      </c>
      <c r="H26" s="58">
        <v>0.803921568627451</v>
      </c>
      <c r="I26" s="58">
        <v>0.878048780487804</v>
      </c>
      <c r="J26" s="58">
        <v>6.2822491363126</v>
      </c>
      <c r="K26" s="58">
        <v>1.0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>
      <c r="A27" s="57" t="s">
        <v>79</v>
      </c>
      <c r="B27" s="57" t="s">
        <v>79</v>
      </c>
      <c r="C27" s="58">
        <v>31.0</v>
      </c>
      <c r="D27" s="58">
        <v>92.0</v>
      </c>
      <c r="E27" s="58">
        <v>0.776344086021505</v>
      </c>
      <c r="F27" s="58">
        <v>361.0</v>
      </c>
      <c r="G27" s="58">
        <v>2.0</v>
      </c>
      <c r="H27" s="58">
        <v>0.803921568627451</v>
      </c>
      <c r="I27" s="58">
        <v>0.878048780487804</v>
      </c>
      <c r="J27" s="58">
        <v>8.81625653328439</v>
      </c>
      <c r="K27" s="58">
        <v>1.0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>
      <c r="A28" s="57" t="s">
        <v>62</v>
      </c>
      <c r="B28" s="57" t="s">
        <v>62</v>
      </c>
      <c r="C28" s="58">
        <v>34.0</v>
      </c>
      <c r="D28" s="58">
        <v>110.0</v>
      </c>
      <c r="E28" s="58">
        <v>0.766488413547237</v>
      </c>
      <c r="F28" s="58">
        <v>430.0</v>
      </c>
      <c r="G28" s="58">
        <v>2.0</v>
      </c>
      <c r="H28" s="58">
        <v>0.854166666666666</v>
      </c>
      <c r="I28" s="58">
        <v>0.914634146341463</v>
      </c>
      <c r="J28" s="58">
        <v>9.58223215982503</v>
      </c>
      <c r="K28" s="58">
        <v>1.0</v>
      </c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>
      <c r="A29" s="57" t="s">
        <v>91</v>
      </c>
      <c r="B29" s="57" t="s">
        <v>91</v>
      </c>
      <c r="C29" s="58">
        <v>34.0</v>
      </c>
      <c r="D29" s="58">
        <v>110.0</v>
      </c>
      <c r="E29" s="58">
        <v>0.766488413547237</v>
      </c>
      <c r="F29" s="58">
        <v>430.0</v>
      </c>
      <c r="G29" s="58">
        <v>2.0</v>
      </c>
      <c r="H29" s="58">
        <v>0.854166666666666</v>
      </c>
      <c r="I29" s="58">
        <v>0.914634146341463</v>
      </c>
      <c r="J29" s="58">
        <v>9.58223215982503</v>
      </c>
      <c r="K29" s="58">
        <v>1.0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</row>
    <row r="30">
      <c r="A30" s="57" t="s">
        <v>102</v>
      </c>
      <c r="B30" s="57" t="s">
        <v>102</v>
      </c>
      <c r="C30" s="58">
        <v>32.0</v>
      </c>
      <c r="D30" s="58">
        <v>98.0</v>
      </c>
      <c r="E30" s="58">
        <v>0.77016129032258</v>
      </c>
      <c r="F30" s="58">
        <v>382.0</v>
      </c>
      <c r="G30" s="58">
        <v>2.0</v>
      </c>
      <c r="H30" s="58">
        <v>0.82</v>
      </c>
      <c r="I30" s="58">
        <v>0.890243902439024</v>
      </c>
      <c r="J30" s="58">
        <v>9.7372761998923</v>
      </c>
      <c r="K30" s="58">
        <v>1.0</v>
      </c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</row>
    <row r="31">
      <c r="A31" s="57" t="s">
        <v>70</v>
      </c>
      <c r="B31" s="57" t="s">
        <v>70</v>
      </c>
      <c r="C31" s="58">
        <v>33.0</v>
      </c>
      <c r="D31" s="58">
        <v>170.0</v>
      </c>
      <c r="E31" s="58">
        <v>0.757575757575757</v>
      </c>
      <c r="F31" s="58">
        <v>400.0</v>
      </c>
      <c r="G31" s="58">
        <v>2.0</v>
      </c>
      <c r="H31" s="58">
        <v>0.836734693877551</v>
      </c>
      <c r="I31" s="58">
        <v>0.902439024390243</v>
      </c>
      <c r="J31" s="58">
        <v>10.326610614188</v>
      </c>
      <c r="K31" s="58">
        <v>0.0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>
      <c r="A32" s="57" t="s">
        <v>103</v>
      </c>
      <c r="B32" s="57" t="s">
        <v>103</v>
      </c>
      <c r="C32" s="58">
        <v>33.0</v>
      </c>
      <c r="D32" s="58">
        <v>168.0</v>
      </c>
      <c r="E32" s="58">
        <v>0.757575757575757</v>
      </c>
      <c r="F32" s="58">
        <v>400.0</v>
      </c>
      <c r="G32" s="58">
        <v>2.0</v>
      </c>
      <c r="H32" s="58">
        <v>0.836734693877551</v>
      </c>
      <c r="I32" s="58">
        <v>0.902439024390243</v>
      </c>
      <c r="J32" s="58">
        <v>10.326610614188</v>
      </c>
      <c r="K32" s="58">
        <v>0.0</v>
      </c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</row>
    <row r="33">
      <c r="A33" s="57" t="s">
        <v>90</v>
      </c>
      <c r="B33" s="57" t="s">
        <v>90</v>
      </c>
      <c r="C33" s="58">
        <v>33.0</v>
      </c>
      <c r="D33" s="58">
        <v>126.0</v>
      </c>
      <c r="E33" s="58">
        <v>0.757575757575757</v>
      </c>
      <c r="F33" s="58">
        <v>400.0</v>
      </c>
      <c r="G33" s="58">
        <v>2.0</v>
      </c>
      <c r="H33" s="58">
        <v>0.836734693877551</v>
      </c>
      <c r="I33" s="58">
        <v>0.902439024390243</v>
      </c>
      <c r="J33" s="58">
        <v>10.326610614188</v>
      </c>
      <c r="K33" s="58">
        <v>0.0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</row>
    <row r="34">
      <c r="A34" s="57" t="s">
        <v>81</v>
      </c>
      <c r="B34" s="57" t="s">
        <v>81</v>
      </c>
      <c r="C34" s="58">
        <v>35.0</v>
      </c>
      <c r="D34" s="58">
        <v>122.0</v>
      </c>
      <c r="E34" s="58">
        <v>0.731092436974789</v>
      </c>
      <c r="F34" s="58">
        <v>435.0</v>
      </c>
      <c r="G34" s="58">
        <v>2.0</v>
      </c>
      <c r="H34" s="58">
        <v>0.872340425531914</v>
      </c>
      <c r="I34" s="58">
        <v>0.926829268292683</v>
      </c>
      <c r="J34" s="58">
        <v>13.0147868600267</v>
      </c>
      <c r="K34" s="58">
        <v>1.0</v>
      </c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>
      <c r="A35" s="57" t="s">
        <v>88</v>
      </c>
      <c r="B35" s="57" t="s">
        <v>88</v>
      </c>
      <c r="C35" s="58">
        <v>36.0</v>
      </c>
      <c r="D35" s="58">
        <v>186.0</v>
      </c>
      <c r="E35" s="58">
        <v>0.722222222222222</v>
      </c>
      <c r="F35" s="58">
        <v>455.0</v>
      </c>
      <c r="G35" s="58">
        <v>2.0</v>
      </c>
      <c r="H35" s="58">
        <v>0.891304347826086</v>
      </c>
      <c r="I35" s="58">
        <v>0.939024390243902</v>
      </c>
      <c r="J35" s="58">
        <v>14.4570044034053</v>
      </c>
      <c r="K35" s="58">
        <v>1.0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>
      <c r="A36" s="57" t="s">
        <v>98</v>
      </c>
      <c r="B36" s="57" t="s">
        <v>98</v>
      </c>
      <c r="C36" s="58">
        <v>36.0</v>
      </c>
      <c r="D36" s="58">
        <v>140.0</v>
      </c>
      <c r="E36" s="58">
        <v>0.722222222222222</v>
      </c>
      <c r="F36" s="58">
        <v>455.0</v>
      </c>
      <c r="G36" s="58">
        <v>2.0</v>
      </c>
      <c r="H36" s="58">
        <v>0.891304347826086</v>
      </c>
      <c r="I36" s="58">
        <v>0.939024390243902</v>
      </c>
      <c r="J36" s="58">
        <v>14.4570044034053</v>
      </c>
      <c r="K36" s="58">
        <v>1.0</v>
      </c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>
      <c r="A37" s="57" t="s">
        <v>80</v>
      </c>
      <c r="B37" s="57" t="s">
        <v>80</v>
      </c>
      <c r="C37" s="58">
        <v>35.0</v>
      </c>
      <c r="D37" s="58">
        <v>150.0</v>
      </c>
      <c r="E37" s="58">
        <v>0.709243697478991</v>
      </c>
      <c r="F37" s="58">
        <v>422.0</v>
      </c>
      <c r="G37" s="58">
        <v>2.0</v>
      </c>
      <c r="H37" s="58">
        <v>0.872340425531914</v>
      </c>
      <c r="I37" s="58">
        <v>0.926829268292683</v>
      </c>
      <c r="J37" s="58">
        <v>15.9380284876801</v>
      </c>
      <c r="K37" s="58">
        <v>1.0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>
      <c r="A38" s="57" t="s">
        <v>89</v>
      </c>
      <c r="B38" s="57" t="s">
        <v>89</v>
      </c>
      <c r="C38" s="58">
        <v>35.0</v>
      </c>
      <c r="D38" s="58">
        <v>120.0</v>
      </c>
      <c r="E38" s="58">
        <v>0.709243697478991</v>
      </c>
      <c r="F38" s="58">
        <v>422.0</v>
      </c>
      <c r="G38" s="58">
        <v>2.0</v>
      </c>
      <c r="H38" s="58">
        <v>0.872340425531914</v>
      </c>
      <c r="I38" s="58">
        <v>0.926829268292683</v>
      </c>
      <c r="J38" s="58">
        <v>16.5088080564086</v>
      </c>
      <c r="K38" s="58">
        <v>1.0</v>
      </c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</row>
    <row r="39">
      <c r="A39" s="57" t="s">
        <v>69</v>
      </c>
      <c r="B39" s="57" t="s">
        <v>69</v>
      </c>
      <c r="C39" s="58">
        <v>38.0</v>
      </c>
      <c r="D39" s="58">
        <v>116.0</v>
      </c>
      <c r="E39" s="58">
        <v>0.698435277382645</v>
      </c>
      <c r="F39" s="58">
        <v>491.0</v>
      </c>
      <c r="G39" s="58">
        <v>2.0</v>
      </c>
      <c r="H39" s="58">
        <v>0.931818181818181</v>
      </c>
      <c r="I39" s="58">
        <v>0.963414634146341</v>
      </c>
      <c r="J39" s="58">
        <v>17.399295956881</v>
      </c>
      <c r="K39" s="58">
        <v>1.0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</row>
    <row r="40">
      <c r="A40" s="57" t="s">
        <v>100</v>
      </c>
      <c r="B40" s="57" t="s">
        <v>100</v>
      </c>
      <c r="C40" s="58">
        <v>40.0</v>
      </c>
      <c r="D40" s="58">
        <v>212.0</v>
      </c>
      <c r="E40" s="58">
        <v>0.665384615384615</v>
      </c>
      <c r="F40" s="58">
        <v>519.0</v>
      </c>
      <c r="G40" s="58">
        <v>2.0</v>
      </c>
      <c r="H40" s="58">
        <v>0.976190476190476</v>
      </c>
      <c r="I40" s="58">
        <v>0.98780487804878</v>
      </c>
      <c r="J40" s="58">
        <v>23.2599245225019</v>
      </c>
      <c r="K40" s="58">
        <v>0.0</v>
      </c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>
      <c r="A41" s="57" t="s">
        <v>68</v>
      </c>
      <c r="B41" s="57" t="s">
        <v>68</v>
      </c>
      <c r="C41" s="58">
        <v>40.0</v>
      </c>
      <c r="D41" s="58">
        <v>178.0</v>
      </c>
      <c r="E41" s="58">
        <v>0.661538461538461</v>
      </c>
      <c r="F41" s="58">
        <v>516.0</v>
      </c>
      <c r="G41" s="58">
        <v>2.0</v>
      </c>
      <c r="H41" s="58">
        <v>0.976190476190476</v>
      </c>
      <c r="I41" s="58">
        <v>0.98780487804878</v>
      </c>
      <c r="J41" s="58">
        <v>23.6713603089377</v>
      </c>
      <c r="K41" s="58">
        <v>1.0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>
      <c r="A42" s="57" t="s">
        <v>66</v>
      </c>
      <c r="B42" s="57" t="s">
        <v>66</v>
      </c>
      <c r="C42" s="58">
        <v>41.0</v>
      </c>
      <c r="D42" s="58">
        <v>242.0</v>
      </c>
      <c r="E42" s="58">
        <v>0.641463414634146</v>
      </c>
      <c r="F42" s="58">
        <v>526.0</v>
      </c>
      <c r="G42" s="58">
        <v>1.0</v>
      </c>
      <c r="H42" s="58">
        <v>1.0</v>
      </c>
      <c r="I42" s="58">
        <v>1.0</v>
      </c>
      <c r="J42" s="58">
        <v>28.2754007129781</v>
      </c>
      <c r="K42" s="58">
        <v>0.0</v>
      </c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>
      <c r="A43" s="57" t="s">
        <v>92</v>
      </c>
      <c r="B43" s="57" t="s">
        <v>92</v>
      </c>
      <c r="C43" s="58">
        <v>41.0</v>
      </c>
      <c r="D43" s="58">
        <v>242.0</v>
      </c>
      <c r="E43" s="58">
        <v>0.641463414634146</v>
      </c>
      <c r="F43" s="58">
        <v>526.0</v>
      </c>
      <c r="G43" s="58">
        <v>1.0</v>
      </c>
      <c r="H43" s="58">
        <v>1.0</v>
      </c>
      <c r="I43" s="58">
        <v>1.0</v>
      </c>
      <c r="J43" s="58">
        <v>28.2754007129781</v>
      </c>
      <c r="K43" s="58">
        <v>0.0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7" t="s">
        <v>62</v>
      </c>
      <c r="C1" s="27" t="s">
        <v>63</v>
      </c>
      <c r="D1" s="27" t="s">
        <v>64</v>
      </c>
      <c r="E1" s="27" t="s">
        <v>65</v>
      </c>
      <c r="F1" s="27" t="s">
        <v>66</v>
      </c>
      <c r="G1" s="27" t="s">
        <v>67</v>
      </c>
      <c r="H1" s="27" t="s">
        <v>68</v>
      </c>
      <c r="I1" s="27" t="s">
        <v>69</v>
      </c>
      <c r="J1" s="27" t="s">
        <v>70</v>
      </c>
      <c r="K1" s="27" t="s">
        <v>71</v>
      </c>
      <c r="L1" s="27" t="s">
        <v>72</v>
      </c>
      <c r="M1" s="27" t="s">
        <v>73</v>
      </c>
      <c r="N1" s="27" t="s">
        <v>74</v>
      </c>
      <c r="O1" s="27" t="s">
        <v>75</v>
      </c>
      <c r="P1" s="27" t="s">
        <v>76</v>
      </c>
      <c r="Q1" s="27" t="s">
        <v>77</v>
      </c>
      <c r="R1" s="27" t="s">
        <v>78</v>
      </c>
      <c r="S1" s="27" t="s">
        <v>79</v>
      </c>
      <c r="T1" s="27" t="s">
        <v>80</v>
      </c>
      <c r="U1" s="27" t="s">
        <v>81</v>
      </c>
      <c r="V1" s="27" t="s">
        <v>82</v>
      </c>
      <c r="W1" s="27" t="s">
        <v>83</v>
      </c>
      <c r="X1" s="27" t="s">
        <v>84</v>
      </c>
      <c r="Y1" s="27" t="s">
        <v>85</v>
      </c>
      <c r="Z1" s="27" t="s">
        <v>86</v>
      </c>
      <c r="AA1" s="27" t="s">
        <v>87</v>
      </c>
      <c r="AB1" s="27" t="s">
        <v>88</v>
      </c>
      <c r="AC1" s="27" t="s">
        <v>89</v>
      </c>
      <c r="AD1" s="27" t="s">
        <v>90</v>
      </c>
      <c r="AE1" s="27" t="s">
        <v>91</v>
      </c>
      <c r="AF1" s="27" t="s">
        <v>92</v>
      </c>
      <c r="AG1" s="27" t="s">
        <v>93</v>
      </c>
      <c r="AH1" s="27" t="s">
        <v>94</v>
      </c>
      <c r="AI1" s="27" t="s">
        <v>95</v>
      </c>
      <c r="AJ1" s="27" t="s">
        <v>96</v>
      </c>
      <c r="AK1" s="27" t="s">
        <v>97</v>
      </c>
      <c r="AL1" s="27" t="s">
        <v>98</v>
      </c>
      <c r="AM1" s="27" t="s">
        <v>99</v>
      </c>
      <c r="AN1" s="27" t="s">
        <v>100</v>
      </c>
      <c r="AO1" s="27" t="s">
        <v>101</v>
      </c>
      <c r="AP1" s="27" t="s">
        <v>102</v>
      </c>
      <c r="AQ1" s="27" t="s">
        <v>103</v>
      </c>
    </row>
    <row r="2">
      <c r="A2" s="27" t="s">
        <v>62</v>
      </c>
      <c r="B2" s="59">
        <v>3.0</v>
      </c>
      <c r="C2" s="59">
        <v>1.0</v>
      </c>
      <c r="D2" s="59">
        <v>1.0</v>
      </c>
      <c r="E2" s="59">
        <v>0.0</v>
      </c>
      <c r="F2" s="59">
        <v>3.0</v>
      </c>
      <c r="G2" s="59">
        <v>1.0</v>
      </c>
      <c r="H2" s="59">
        <v>2.0</v>
      </c>
      <c r="I2" s="59">
        <v>2.0</v>
      </c>
      <c r="J2" s="59">
        <v>2.0</v>
      </c>
      <c r="K2" s="59">
        <v>2.0</v>
      </c>
      <c r="L2" s="59">
        <v>1.0</v>
      </c>
      <c r="M2" s="59">
        <v>1.0</v>
      </c>
      <c r="N2" s="59">
        <v>1.0</v>
      </c>
      <c r="O2" s="59">
        <v>1.0</v>
      </c>
      <c r="P2" s="59">
        <v>0.0</v>
      </c>
      <c r="Q2" s="59">
        <v>0.0</v>
      </c>
      <c r="R2" s="59">
        <v>1.0</v>
      </c>
      <c r="S2" s="59">
        <v>1.0</v>
      </c>
      <c r="T2" s="59">
        <v>2.0</v>
      </c>
      <c r="U2" s="59">
        <v>1.0</v>
      </c>
      <c r="V2" s="59">
        <v>0.0</v>
      </c>
      <c r="W2" s="59">
        <v>1.0</v>
      </c>
      <c r="X2" s="59">
        <v>1.0</v>
      </c>
      <c r="Y2" s="59">
        <v>2.0</v>
      </c>
      <c r="Z2" s="59">
        <v>1.0</v>
      </c>
      <c r="AA2" s="59">
        <v>1.0</v>
      </c>
      <c r="AB2" s="59">
        <v>3.0</v>
      </c>
      <c r="AC2" s="59">
        <v>2.0</v>
      </c>
      <c r="AD2" s="59">
        <v>1.0</v>
      </c>
      <c r="AE2" s="59">
        <v>3.0</v>
      </c>
      <c r="AF2" s="59">
        <v>3.0</v>
      </c>
      <c r="AG2" s="59">
        <v>0.0</v>
      </c>
      <c r="AH2" s="59">
        <v>1.0</v>
      </c>
      <c r="AI2" s="59">
        <v>1.0</v>
      </c>
      <c r="AJ2" s="59">
        <v>0.0</v>
      </c>
      <c r="AK2" s="59">
        <v>1.0</v>
      </c>
      <c r="AL2" s="59">
        <v>3.0</v>
      </c>
      <c r="AM2" s="59">
        <v>1.0</v>
      </c>
      <c r="AN2" s="59">
        <v>3.0</v>
      </c>
      <c r="AO2" s="59">
        <v>0.0</v>
      </c>
      <c r="AP2" s="59">
        <v>2.0</v>
      </c>
      <c r="AQ2" s="59">
        <v>2.0</v>
      </c>
    </row>
    <row r="3">
      <c r="A3" s="27" t="s">
        <v>63</v>
      </c>
      <c r="B3" s="59">
        <v>1.0</v>
      </c>
      <c r="C3" s="59">
        <v>3.0</v>
      </c>
      <c r="D3" s="59">
        <v>0.0</v>
      </c>
      <c r="E3" s="59">
        <v>0.0</v>
      </c>
      <c r="F3" s="59">
        <v>3.0</v>
      </c>
      <c r="G3" s="59">
        <v>1.0</v>
      </c>
      <c r="H3" s="59">
        <v>2.0</v>
      </c>
      <c r="I3" s="59">
        <v>1.0</v>
      </c>
      <c r="J3" s="59">
        <v>1.0</v>
      </c>
      <c r="K3" s="59">
        <v>1.0</v>
      </c>
      <c r="L3" s="59">
        <v>0.0</v>
      </c>
      <c r="M3" s="59">
        <v>1.0</v>
      </c>
      <c r="N3" s="59">
        <v>0.0</v>
      </c>
      <c r="O3" s="59">
        <v>1.0</v>
      </c>
      <c r="P3" s="59">
        <v>1.0</v>
      </c>
      <c r="Q3" s="59">
        <v>0.0</v>
      </c>
      <c r="R3" s="59">
        <v>0.0</v>
      </c>
      <c r="S3" s="59">
        <v>1.0</v>
      </c>
      <c r="T3" s="59">
        <v>2.0</v>
      </c>
      <c r="U3" s="59">
        <v>2.0</v>
      </c>
      <c r="V3" s="59">
        <v>0.0</v>
      </c>
      <c r="W3" s="59">
        <v>1.0</v>
      </c>
      <c r="X3" s="59">
        <v>1.0</v>
      </c>
      <c r="Y3" s="59">
        <v>1.0</v>
      </c>
      <c r="Z3" s="59">
        <v>1.0</v>
      </c>
      <c r="AA3" s="59">
        <v>1.0</v>
      </c>
      <c r="AB3" s="59">
        <v>3.0</v>
      </c>
      <c r="AC3" s="59">
        <v>1.0</v>
      </c>
      <c r="AD3" s="59">
        <v>1.0</v>
      </c>
      <c r="AE3" s="59">
        <v>1.0</v>
      </c>
      <c r="AF3" s="59">
        <v>3.0</v>
      </c>
      <c r="AG3" s="59">
        <v>0.0</v>
      </c>
      <c r="AH3" s="59">
        <v>1.0</v>
      </c>
      <c r="AI3" s="59">
        <v>1.0</v>
      </c>
      <c r="AJ3" s="59">
        <v>0.0</v>
      </c>
      <c r="AK3" s="59">
        <v>1.0</v>
      </c>
      <c r="AL3" s="59">
        <v>2.0</v>
      </c>
      <c r="AM3" s="59">
        <v>1.0</v>
      </c>
      <c r="AN3" s="59">
        <v>2.0</v>
      </c>
      <c r="AO3" s="59">
        <v>0.0</v>
      </c>
      <c r="AP3" s="59">
        <v>1.0</v>
      </c>
      <c r="AQ3" s="59">
        <v>2.0</v>
      </c>
    </row>
    <row r="4">
      <c r="A4" s="27" t="s">
        <v>64</v>
      </c>
      <c r="B4" s="59">
        <v>1.0</v>
      </c>
      <c r="C4" s="59">
        <v>0.0</v>
      </c>
      <c r="D4" s="59">
        <v>2.0</v>
      </c>
      <c r="E4" s="59">
        <v>0.0</v>
      </c>
      <c r="F4" s="59">
        <v>2.0</v>
      </c>
      <c r="G4" s="59">
        <v>1.0</v>
      </c>
      <c r="H4" s="59">
        <v>1.0</v>
      </c>
      <c r="I4" s="59">
        <v>1.0</v>
      </c>
      <c r="J4" s="59">
        <v>2.0</v>
      </c>
      <c r="K4" s="59">
        <v>1.0</v>
      </c>
      <c r="L4" s="59">
        <v>1.0</v>
      </c>
      <c r="M4" s="59">
        <v>0.0</v>
      </c>
      <c r="N4" s="59">
        <v>1.0</v>
      </c>
      <c r="O4" s="59">
        <v>0.0</v>
      </c>
      <c r="P4" s="59">
        <v>1.0</v>
      </c>
      <c r="Q4" s="59">
        <v>1.0</v>
      </c>
      <c r="R4" s="59">
        <v>2.0</v>
      </c>
      <c r="S4" s="59">
        <v>0.0</v>
      </c>
      <c r="T4" s="59">
        <v>0.0</v>
      </c>
      <c r="U4" s="59">
        <v>0.0</v>
      </c>
      <c r="V4" s="59">
        <v>0.0</v>
      </c>
      <c r="W4" s="59">
        <v>0.0</v>
      </c>
      <c r="X4" s="59">
        <v>0.0</v>
      </c>
      <c r="Y4" s="59">
        <v>1.0</v>
      </c>
      <c r="Z4" s="59">
        <v>0.0</v>
      </c>
      <c r="AA4" s="59">
        <v>0.0</v>
      </c>
      <c r="AB4" s="59">
        <v>1.0</v>
      </c>
      <c r="AC4" s="59">
        <v>2.0</v>
      </c>
      <c r="AD4" s="59">
        <v>2.0</v>
      </c>
      <c r="AE4" s="59">
        <v>1.0</v>
      </c>
      <c r="AF4" s="59">
        <v>2.0</v>
      </c>
      <c r="AG4" s="59">
        <v>1.0</v>
      </c>
      <c r="AH4" s="59">
        <v>0.0</v>
      </c>
      <c r="AI4" s="59">
        <v>0.0</v>
      </c>
      <c r="AJ4" s="59">
        <v>0.0</v>
      </c>
      <c r="AK4" s="59">
        <v>0.0</v>
      </c>
      <c r="AL4" s="59">
        <v>1.0</v>
      </c>
      <c r="AM4" s="59">
        <v>0.0</v>
      </c>
      <c r="AN4" s="59">
        <v>2.0</v>
      </c>
      <c r="AO4" s="59">
        <v>0.0</v>
      </c>
      <c r="AP4" s="59">
        <v>1.0</v>
      </c>
      <c r="AQ4" s="59">
        <v>2.0</v>
      </c>
    </row>
    <row r="5">
      <c r="A5" s="27" t="s">
        <v>65</v>
      </c>
      <c r="B5" s="59">
        <v>0.0</v>
      </c>
      <c r="C5" s="59">
        <v>0.0</v>
      </c>
      <c r="D5" s="59">
        <v>0.0</v>
      </c>
      <c r="E5" s="59">
        <v>1.0</v>
      </c>
      <c r="F5" s="59">
        <v>1.0</v>
      </c>
      <c r="G5" s="59">
        <v>0.0</v>
      </c>
      <c r="H5" s="59">
        <v>1.0</v>
      </c>
      <c r="I5" s="59">
        <v>1.0</v>
      </c>
      <c r="J5" s="59">
        <v>1.0</v>
      </c>
      <c r="K5" s="59">
        <v>0.0</v>
      </c>
      <c r="L5" s="59">
        <v>0.0</v>
      </c>
      <c r="M5" s="59">
        <v>0.0</v>
      </c>
      <c r="N5" s="59">
        <v>0.0</v>
      </c>
      <c r="O5" s="59">
        <v>0.0</v>
      </c>
      <c r="P5" s="59">
        <v>1.0</v>
      </c>
      <c r="Q5" s="59">
        <v>0.0</v>
      </c>
      <c r="R5" s="59">
        <v>0.0</v>
      </c>
      <c r="S5" s="59">
        <v>1.0</v>
      </c>
      <c r="T5" s="59">
        <v>1.0</v>
      </c>
      <c r="U5" s="59">
        <v>1.0</v>
      </c>
      <c r="V5" s="59">
        <v>0.0</v>
      </c>
      <c r="W5" s="59">
        <v>0.0</v>
      </c>
      <c r="X5" s="59">
        <v>0.0</v>
      </c>
      <c r="Y5" s="59">
        <v>0.0</v>
      </c>
      <c r="Z5" s="59">
        <v>0.0</v>
      </c>
      <c r="AA5" s="59">
        <v>0.0</v>
      </c>
      <c r="AB5" s="59">
        <v>0.0</v>
      </c>
      <c r="AC5" s="59">
        <v>0.0</v>
      </c>
      <c r="AD5" s="59">
        <v>1.0</v>
      </c>
      <c r="AE5" s="59">
        <v>0.0</v>
      </c>
      <c r="AF5" s="59">
        <v>1.0</v>
      </c>
      <c r="AG5" s="59">
        <v>1.0</v>
      </c>
      <c r="AH5" s="59">
        <v>1.0</v>
      </c>
      <c r="AI5" s="59">
        <v>1.0</v>
      </c>
      <c r="AJ5" s="59">
        <v>1.0</v>
      </c>
      <c r="AK5" s="59">
        <v>0.0</v>
      </c>
      <c r="AL5" s="59">
        <v>0.0</v>
      </c>
      <c r="AM5" s="59">
        <v>0.0</v>
      </c>
      <c r="AN5" s="59">
        <v>1.0</v>
      </c>
      <c r="AO5" s="59">
        <v>1.0</v>
      </c>
      <c r="AP5" s="59">
        <v>0.0</v>
      </c>
      <c r="AQ5" s="59">
        <v>1.0</v>
      </c>
    </row>
    <row r="6">
      <c r="A6" s="27" t="s">
        <v>66</v>
      </c>
      <c r="B6" s="59">
        <v>3.0</v>
      </c>
      <c r="C6" s="59">
        <v>3.0</v>
      </c>
      <c r="D6" s="59">
        <v>2.0</v>
      </c>
      <c r="E6" s="59">
        <v>1.0</v>
      </c>
      <c r="F6" s="59">
        <v>9.0</v>
      </c>
      <c r="G6" s="59">
        <v>2.0</v>
      </c>
      <c r="H6" s="59">
        <v>6.0</v>
      </c>
      <c r="I6" s="59">
        <v>3.0</v>
      </c>
      <c r="J6" s="59">
        <v>6.0</v>
      </c>
      <c r="K6" s="59">
        <v>3.0</v>
      </c>
      <c r="L6" s="59">
        <v>1.0</v>
      </c>
      <c r="M6" s="59">
        <v>1.0</v>
      </c>
      <c r="N6" s="59">
        <v>1.0</v>
      </c>
      <c r="O6" s="59">
        <v>2.0</v>
      </c>
      <c r="P6" s="59">
        <v>3.0</v>
      </c>
      <c r="Q6" s="59">
        <v>1.0</v>
      </c>
      <c r="R6" s="59">
        <v>2.0</v>
      </c>
      <c r="S6" s="59">
        <v>3.0</v>
      </c>
      <c r="T6" s="59">
        <v>6.0</v>
      </c>
      <c r="U6" s="59">
        <v>4.0</v>
      </c>
      <c r="V6" s="59">
        <v>1.0</v>
      </c>
      <c r="W6" s="59">
        <v>1.0</v>
      </c>
      <c r="X6" s="59">
        <v>1.0</v>
      </c>
      <c r="Y6" s="59">
        <v>3.0</v>
      </c>
      <c r="Z6" s="59">
        <v>1.0</v>
      </c>
      <c r="AA6" s="59">
        <v>1.0</v>
      </c>
      <c r="AB6" s="59">
        <v>7.0</v>
      </c>
      <c r="AC6" s="59">
        <v>4.0</v>
      </c>
      <c r="AD6" s="59">
        <v>4.0</v>
      </c>
      <c r="AE6" s="59">
        <v>3.0</v>
      </c>
      <c r="AF6" s="59">
        <v>9.0</v>
      </c>
      <c r="AG6" s="59">
        <v>2.0</v>
      </c>
      <c r="AH6" s="59">
        <v>3.0</v>
      </c>
      <c r="AI6" s="59">
        <v>3.0</v>
      </c>
      <c r="AJ6" s="59">
        <v>1.0</v>
      </c>
      <c r="AK6" s="59">
        <v>1.0</v>
      </c>
      <c r="AL6" s="59">
        <v>5.0</v>
      </c>
      <c r="AM6" s="59">
        <v>1.0</v>
      </c>
      <c r="AN6" s="59">
        <v>7.0</v>
      </c>
      <c r="AO6" s="59">
        <v>1.0</v>
      </c>
      <c r="AP6" s="59">
        <v>3.0</v>
      </c>
      <c r="AQ6" s="59">
        <v>6.0</v>
      </c>
    </row>
    <row r="7">
      <c r="A7" s="27" t="s">
        <v>67</v>
      </c>
      <c r="B7" s="59">
        <v>1.0</v>
      </c>
      <c r="C7" s="59">
        <v>1.0</v>
      </c>
      <c r="D7" s="59">
        <v>1.0</v>
      </c>
      <c r="E7" s="59">
        <v>0.0</v>
      </c>
      <c r="F7" s="59">
        <v>2.0</v>
      </c>
      <c r="G7" s="59">
        <v>2.0</v>
      </c>
      <c r="H7" s="59">
        <v>2.0</v>
      </c>
      <c r="I7" s="59">
        <v>1.0</v>
      </c>
      <c r="J7" s="59">
        <v>2.0</v>
      </c>
      <c r="K7" s="59">
        <v>2.0</v>
      </c>
      <c r="L7" s="59">
        <v>1.0</v>
      </c>
      <c r="M7" s="59">
        <v>0.0</v>
      </c>
      <c r="N7" s="59">
        <v>1.0</v>
      </c>
      <c r="O7" s="59">
        <v>1.0</v>
      </c>
      <c r="P7" s="59">
        <v>0.0</v>
      </c>
      <c r="Q7" s="59">
        <v>0.0</v>
      </c>
      <c r="R7" s="59">
        <v>1.0</v>
      </c>
      <c r="S7" s="59">
        <v>0.0</v>
      </c>
      <c r="T7" s="59">
        <v>0.0</v>
      </c>
      <c r="U7" s="59">
        <v>1.0</v>
      </c>
      <c r="V7" s="59">
        <v>0.0</v>
      </c>
      <c r="W7" s="59">
        <v>0.0</v>
      </c>
      <c r="X7" s="59">
        <v>0.0</v>
      </c>
      <c r="Y7" s="59">
        <v>2.0</v>
      </c>
      <c r="Z7" s="59">
        <v>0.0</v>
      </c>
      <c r="AA7" s="59">
        <v>0.0</v>
      </c>
      <c r="AB7" s="59">
        <v>2.0</v>
      </c>
      <c r="AC7" s="59">
        <v>1.0</v>
      </c>
      <c r="AD7" s="59">
        <v>2.0</v>
      </c>
      <c r="AE7" s="59">
        <v>1.0</v>
      </c>
      <c r="AF7" s="59">
        <v>2.0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1.0</v>
      </c>
      <c r="AM7" s="59">
        <v>0.0</v>
      </c>
      <c r="AN7" s="59">
        <v>2.0</v>
      </c>
      <c r="AO7" s="59">
        <v>0.0</v>
      </c>
      <c r="AP7" s="59">
        <v>1.0</v>
      </c>
      <c r="AQ7" s="59">
        <v>2.0</v>
      </c>
    </row>
    <row r="8">
      <c r="A8" s="27" t="s">
        <v>68</v>
      </c>
      <c r="B8" s="59">
        <v>2.0</v>
      </c>
      <c r="C8" s="59">
        <v>2.0</v>
      </c>
      <c r="D8" s="59">
        <v>1.0</v>
      </c>
      <c r="E8" s="59">
        <v>1.0</v>
      </c>
      <c r="F8" s="59">
        <v>6.0</v>
      </c>
      <c r="G8" s="59">
        <v>2.0</v>
      </c>
      <c r="H8" s="59">
        <v>6.0</v>
      </c>
      <c r="I8" s="59">
        <v>3.0</v>
      </c>
      <c r="J8" s="59">
        <v>4.0</v>
      </c>
      <c r="K8" s="59">
        <v>2.0</v>
      </c>
      <c r="L8" s="59">
        <v>1.0</v>
      </c>
      <c r="M8" s="59">
        <v>1.0</v>
      </c>
      <c r="N8" s="59">
        <v>1.0</v>
      </c>
      <c r="O8" s="59">
        <v>1.0</v>
      </c>
      <c r="P8" s="59">
        <v>1.0</v>
      </c>
      <c r="Q8" s="59">
        <v>0.0</v>
      </c>
      <c r="R8" s="59">
        <v>1.0</v>
      </c>
      <c r="S8" s="59">
        <v>3.0</v>
      </c>
      <c r="T8" s="59">
        <v>4.0</v>
      </c>
      <c r="U8" s="59">
        <v>4.0</v>
      </c>
      <c r="V8" s="59">
        <v>1.0</v>
      </c>
      <c r="W8" s="59">
        <v>1.0</v>
      </c>
      <c r="X8" s="59">
        <v>1.0</v>
      </c>
      <c r="Y8" s="59">
        <v>2.0</v>
      </c>
      <c r="Z8" s="59">
        <v>1.0</v>
      </c>
      <c r="AA8" s="59">
        <v>1.0</v>
      </c>
      <c r="AB8" s="59">
        <v>5.0</v>
      </c>
      <c r="AC8" s="59">
        <v>3.0</v>
      </c>
      <c r="AD8" s="59">
        <v>3.0</v>
      </c>
      <c r="AE8" s="59">
        <v>2.0</v>
      </c>
      <c r="AF8" s="59">
        <v>6.0</v>
      </c>
      <c r="AG8" s="59">
        <v>1.0</v>
      </c>
      <c r="AH8" s="59">
        <v>2.0</v>
      </c>
      <c r="AI8" s="59">
        <v>2.0</v>
      </c>
      <c r="AJ8" s="59">
        <v>1.0</v>
      </c>
      <c r="AK8" s="59">
        <v>1.0</v>
      </c>
      <c r="AL8" s="59">
        <v>3.0</v>
      </c>
      <c r="AM8" s="59">
        <v>1.0</v>
      </c>
      <c r="AN8" s="59">
        <v>5.0</v>
      </c>
      <c r="AO8" s="59">
        <v>1.0</v>
      </c>
      <c r="AP8" s="59">
        <v>3.0</v>
      </c>
      <c r="AQ8" s="59">
        <v>3.0</v>
      </c>
    </row>
    <row r="9">
      <c r="A9" s="27" t="s">
        <v>69</v>
      </c>
      <c r="B9" s="59">
        <v>2.0</v>
      </c>
      <c r="C9" s="59">
        <v>1.0</v>
      </c>
      <c r="D9" s="59">
        <v>1.0</v>
      </c>
      <c r="E9" s="59">
        <v>1.0</v>
      </c>
      <c r="F9" s="59">
        <v>3.0</v>
      </c>
      <c r="G9" s="59">
        <v>1.0</v>
      </c>
      <c r="H9" s="59">
        <v>3.0</v>
      </c>
      <c r="I9" s="59">
        <v>3.0</v>
      </c>
      <c r="J9" s="59">
        <v>2.0</v>
      </c>
      <c r="K9" s="59">
        <v>1.0</v>
      </c>
      <c r="L9" s="59">
        <v>1.0</v>
      </c>
      <c r="M9" s="59">
        <v>1.0</v>
      </c>
      <c r="N9" s="59">
        <v>1.0</v>
      </c>
      <c r="O9" s="59">
        <v>0.0</v>
      </c>
      <c r="P9" s="59">
        <v>1.0</v>
      </c>
      <c r="Q9" s="59">
        <v>0.0</v>
      </c>
      <c r="R9" s="59">
        <v>1.0</v>
      </c>
      <c r="S9" s="59">
        <v>2.0</v>
      </c>
      <c r="T9" s="59">
        <v>2.0</v>
      </c>
      <c r="U9" s="59">
        <v>2.0</v>
      </c>
      <c r="V9" s="59">
        <v>0.0</v>
      </c>
      <c r="W9" s="59">
        <v>1.0</v>
      </c>
      <c r="X9" s="59">
        <v>1.0</v>
      </c>
      <c r="Y9" s="59">
        <v>1.0</v>
      </c>
      <c r="Z9" s="59">
        <v>1.0</v>
      </c>
      <c r="AA9" s="59">
        <v>1.0</v>
      </c>
      <c r="AB9" s="59">
        <v>2.0</v>
      </c>
      <c r="AC9" s="59">
        <v>2.0</v>
      </c>
      <c r="AD9" s="59">
        <v>2.0</v>
      </c>
      <c r="AE9" s="59">
        <v>2.0</v>
      </c>
      <c r="AF9" s="59">
        <v>3.0</v>
      </c>
      <c r="AG9" s="59">
        <v>1.0</v>
      </c>
      <c r="AH9" s="59">
        <v>1.0</v>
      </c>
      <c r="AI9" s="59">
        <v>1.0</v>
      </c>
      <c r="AJ9" s="59">
        <v>1.0</v>
      </c>
      <c r="AK9" s="59">
        <v>1.0</v>
      </c>
      <c r="AL9" s="59">
        <v>2.0</v>
      </c>
      <c r="AM9" s="59">
        <v>1.0</v>
      </c>
      <c r="AN9" s="59">
        <v>3.0</v>
      </c>
      <c r="AO9" s="59">
        <v>1.0</v>
      </c>
      <c r="AP9" s="59">
        <v>2.0</v>
      </c>
      <c r="AQ9" s="59">
        <v>2.0</v>
      </c>
    </row>
    <row r="10">
      <c r="A10" s="27" t="s">
        <v>70</v>
      </c>
      <c r="B10" s="59">
        <v>2.0</v>
      </c>
      <c r="C10" s="59">
        <v>1.0</v>
      </c>
      <c r="D10" s="59">
        <v>2.0</v>
      </c>
      <c r="E10" s="59">
        <v>1.0</v>
      </c>
      <c r="F10" s="59">
        <v>6.0</v>
      </c>
      <c r="G10" s="59">
        <v>2.0</v>
      </c>
      <c r="H10" s="59">
        <v>4.0</v>
      </c>
      <c r="I10" s="59">
        <v>2.0</v>
      </c>
      <c r="J10" s="59">
        <v>6.0</v>
      </c>
      <c r="K10" s="59">
        <v>3.0</v>
      </c>
      <c r="L10" s="59">
        <v>1.0</v>
      </c>
      <c r="M10" s="59">
        <v>0.0</v>
      </c>
      <c r="N10" s="59">
        <v>1.0</v>
      </c>
      <c r="O10" s="59">
        <v>2.0</v>
      </c>
      <c r="P10" s="59">
        <v>2.0</v>
      </c>
      <c r="Q10" s="59">
        <v>1.0</v>
      </c>
      <c r="R10" s="59">
        <v>2.0</v>
      </c>
      <c r="S10" s="59">
        <v>2.0</v>
      </c>
      <c r="T10" s="59">
        <v>3.0</v>
      </c>
      <c r="U10" s="59">
        <v>3.0</v>
      </c>
      <c r="V10" s="59">
        <v>0.0</v>
      </c>
      <c r="W10" s="59">
        <v>0.0</v>
      </c>
      <c r="X10" s="59">
        <v>0.0</v>
      </c>
      <c r="Y10" s="59">
        <v>3.0</v>
      </c>
      <c r="Z10" s="59">
        <v>0.0</v>
      </c>
      <c r="AA10" s="59">
        <v>0.0</v>
      </c>
      <c r="AB10" s="59">
        <v>4.0</v>
      </c>
      <c r="AC10" s="59">
        <v>2.0</v>
      </c>
      <c r="AD10" s="59">
        <v>4.0</v>
      </c>
      <c r="AE10" s="59">
        <v>2.0</v>
      </c>
      <c r="AF10" s="59">
        <v>6.0</v>
      </c>
      <c r="AG10" s="59">
        <v>2.0</v>
      </c>
      <c r="AH10" s="59">
        <v>3.0</v>
      </c>
      <c r="AI10" s="59">
        <v>3.0</v>
      </c>
      <c r="AJ10" s="59">
        <v>1.0</v>
      </c>
      <c r="AK10" s="59">
        <v>0.0</v>
      </c>
      <c r="AL10" s="59">
        <v>2.0</v>
      </c>
      <c r="AM10" s="59">
        <v>0.0</v>
      </c>
      <c r="AN10" s="59">
        <v>6.0</v>
      </c>
      <c r="AO10" s="59">
        <v>1.0</v>
      </c>
      <c r="AP10" s="59">
        <v>1.0</v>
      </c>
      <c r="AQ10" s="59">
        <v>5.0</v>
      </c>
    </row>
    <row r="11">
      <c r="A11" s="27" t="s">
        <v>71</v>
      </c>
      <c r="B11" s="59">
        <v>2.0</v>
      </c>
      <c r="C11" s="59">
        <v>1.0</v>
      </c>
      <c r="D11" s="59">
        <v>1.0</v>
      </c>
      <c r="E11" s="59">
        <v>0.0</v>
      </c>
      <c r="F11" s="59">
        <v>3.0</v>
      </c>
      <c r="G11" s="59">
        <v>2.0</v>
      </c>
      <c r="H11" s="59">
        <v>2.0</v>
      </c>
      <c r="I11" s="59">
        <v>1.0</v>
      </c>
      <c r="J11" s="59">
        <v>3.0</v>
      </c>
      <c r="K11" s="59">
        <v>3.0</v>
      </c>
      <c r="L11" s="59">
        <v>1.0</v>
      </c>
      <c r="M11" s="59">
        <v>0.0</v>
      </c>
      <c r="N11" s="59">
        <v>1.0</v>
      </c>
      <c r="O11" s="59">
        <v>2.0</v>
      </c>
      <c r="P11" s="59">
        <v>0.0</v>
      </c>
      <c r="Q11" s="59">
        <v>0.0</v>
      </c>
      <c r="R11" s="59">
        <v>1.0</v>
      </c>
      <c r="S11" s="59">
        <v>0.0</v>
      </c>
      <c r="T11" s="59">
        <v>1.0</v>
      </c>
      <c r="U11" s="59">
        <v>1.0</v>
      </c>
      <c r="V11" s="59">
        <v>0.0</v>
      </c>
      <c r="W11" s="59">
        <v>0.0</v>
      </c>
      <c r="X11" s="59">
        <v>0.0</v>
      </c>
      <c r="Y11" s="59">
        <v>3.0</v>
      </c>
      <c r="Z11" s="59">
        <v>0.0</v>
      </c>
      <c r="AA11" s="59">
        <v>0.0</v>
      </c>
      <c r="AB11" s="59">
        <v>3.0</v>
      </c>
      <c r="AC11" s="59">
        <v>1.0</v>
      </c>
      <c r="AD11" s="59">
        <v>2.0</v>
      </c>
      <c r="AE11" s="59">
        <v>2.0</v>
      </c>
      <c r="AF11" s="59">
        <v>3.0</v>
      </c>
      <c r="AG11" s="59">
        <v>0.0</v>
      </c>
      <c r="AH11" s="59">
        <v>2.0</v>
      </c>
      <c r="AI11" s="59">
        <v>2.0</v>
      </c>
      <c r="AJ11" s="59">
        <v>0.0</v>
      </c>
      <c r="AK11" s="59">
        <v>0.0</v>
      </c>
      <c r="AL11" s="59">
        <v>2.0</v>
      </c>
      <c r="AM11" s="59">
        <v>0.0</v>
      </c>
      <c r="AN11" s="59">
        <v>3.0</v>
      </c>
      <c r="AO11" s="59">
        <v>0.0</v>
      </c>
      <c r="AP11" s="59">
        <v>1.0</v>
      </c>
      <c r="AQ11" s="59">
        <v>3.0</v>
      </c>
    </row>
    <row r="12">
      <c r="A12" s="27" t="s">
        <v>72</v>
      </c>
      <c r="B12" s="59">
        <v>1.0</v>
      </c>
      <c r="C12" s="59">
        <v>0.0</v>
      </c>
      <c r="D12" s="59">
        <v>1.0</v>
      </c>
      <c r="E12" s="59">
        <v>0.0</v>
      </c>
      <c r="F12" s="59">
        <v>1.0</v>
      </c>
      <c r="G12" s="59">
        <v>1.0</v>
      </c>
      <c r="H12" s="59">
        <v>1.0</v>
      </c>
      <c r="I12" s="59">
        <v>1.0</v>
      </c>
      <c r="J12" s="59">
        <v>1.0</v>
      </c>
      <c r="K12" s="59">
        <v>1.0</v>
      </c>
      <c r="L12" s="59">
        <v>1.0</v>
      </c>
      <c r="M12" s="59">
        <v>0.0</v>
      </c>
      <c r="N12" s="59">
        <v>1.0</v>
      </c>
      <c r="O12" s="59">
        <v>0.0</v>
      </c>
      <c r="P12" s="59">
        <v>0.0</v>
      </c>
      <c r="Q12" s="59">
        <v>0.0</v>
      </c>
      <c r="R12" s="59">
        <v>1.0</v>
      </c>
      <c r="S12" s="59">
        <v>0.0</v>
      </c>
      <c r="T12" s="59">
        <v>0.0</v>
      </c>
      <c r="U12" s="59">
        <v>0.0</v>
      </c>
      <c r="V12" s="59">
        <v>0.0</v>
      </c>
      <c r="W12" s="59">
        <v>0.0</v>
      </c>
      <c r="X12" s="59">
        <v>0.0</v>
      </c>
      <c r="Y12" s="59">
        <v>1.0</v>
      </c>
      <c r="Z12" s="59">
        <v>0.0</v>
      </c>
      <c r="AA12" s="59">
        <v>0.0</v>
      </c>
      <c r="AB12" s="59">
        <v>1.0</v>
      </c>
      <c r="AC12" s="59">
        <v>1.0</v>
      </c>
      <c r="AD12" s="59">
        <v>1.0</v>
      </c>
      <c r="AE12" s="59">
        <v>1.0</v>
      </c>
      <c r="AF12" s="59">
        <v>1.0</v>
      </c>
      <c r="AG12" s="59">
        <v>0.0</v>
      </c>
      <c r="AH12" s="59">
        <v>0.0</v>
      </c>
      <c r="AI12" s="59">
        <v>0.0</v>
      </c>
      <c r="AJ12" s="59">
        <v>0.0</v>
      </c>
      <c r="AK12" s="59">
        <v>0.0</v>
      </c>
      <c r="AL12" s="59">
        <v>1.0</v>
      </c>
      <c r="AM12" s="59">
        <v>0.0</v>
      </c>
      <c r="AN12" s="59">
        <v>1.0</v>
      </c>
      <c r="AO12" s="59">
        <v>0.0</v>
      </c>
      <c r="AP12" s="59">
        <v>1.0</v>
      </c>
      <c r="AQ12" s="59">
        <v>1.0</v>
      </c>
    </row>
    <row r="13">
      <c r="A13" s="27" t="s">
        <v>73</v>
      </c>
      <c r="B13" s="59">
        <v>1.0</v>
      </c>
      <c r="C13" s="59">
        <v>1.0</v>
      </c>
      <c r="D13" s="59">
        <v>0.0</v>
      </c>
      <c r="E13" s="59">
        <v>0.0</v>
      </c>
      <c r="F13" s="59">
        <v>1.0</v>
      </c>
      <c r="G13" s="59">
        <v>0.0</v>
      </c>
      <c r="H13" s="59">
        <v>1.0</v>
      </c>
      <c r="I13" s="59">
        <v>1.0</v>
      </c>
      <c r="J13" s="59">
        <v>0.0</v>
      </c>
      <c r="K13" s="59">
        <v>0.0</v>
      </c>
      <c r="L13" s="59">
        <v>0.0</v>
      </c>
      <c r="M13" s="59">
        <v>1.0</v>
      </c>
      <c r="N13" s="59">
        <v>0.0</v>
      </c>
      <c r="O13" s="59">
        <v>0.0</v>
      </c>
      <c r="P13" s="59">
        <v>0.0</v>
      </c>
      <c r="Q13" s="59">
        <v>0.0</v>
      </c>
      <c r="R13" s="59">
        <v>0.0</v>
      </c>
      <c r="S13" s="59">
        <v>1.0</v>
      </c>
      <c r="T13" s="59">
        <v>1.0</v>
      </c>
      <c r="U13" s="59">
        <v>1.0</v>
      </c>
      <c r="V13" s="59">
        <v>0.0</v>
      </c>
      <c r="W13" s="59">
        <v>1.0</v>
      </c>
      <c r="X13" s="59">
        <v>1.0</v>
      </c>
      <c r="Y13" s="59">
        <v>0.0</v>
      </c>
      <c r="Z13" s="59">
        <v>1.0</v>
      </c>
      <c r="AA13" s="59">
        <v>1.0</v>
      </c>
      <c r="AB13" s="59">
        <v>1.0</v>
      </c>
      <c r="AC13" s="59">
        <v>1.0</v>
      </c>
      <c r="AD13" s="59">
        <v>0.0</v>
      </c>
      <c r="AE13" s="59">
        <v>1.0</v>
      </c>
      <c r="AF13" s="59">
        <v>1.0</v>
      </c>
      <c r="AG13" s="59">
        <v>0.0</v>
      </c>
      <c r="AH13" s="59">
        <v>0.0</v>
      </c>
      <c r="AI13" s="59">
        <v>0.0</v>
      </c>
      <c r="AJ13" s="59">
        <v>0.0</v>
      </c>
      <c r="AK13" s="59">
        <v>1.0</v>
      </c>
      <c r="AL13" s="59">
        <v>1.0</v>
      </c>
      <c r="AM13" s="59">
        <v>1.0</v>
      </c>
      <c r="AN13" s="59">
        <v>1.0</v>
      </c>
      <c r="AO13" s="59">
        <v>0.0</v>
      </c>
      <c r="AP13" s="59">
        <v>1.0</v>
      </c>
      <c r="AQ13" s="59">
        <v>0.0</v>
      </c>
    </row>
    <row r="14">
      <c r="A14" s="27" t="s">
        <v>74</v>
      </c>
      <c r="B14" s="59">
        <v>1.0</v>
      </c>
      <c r="C14" s="59">
        <v>0.0</v>
      </c>
      <c r="D14" s="59">
        <v>1.0</v>
      </c>
      <c r="E14" s="59">
        <v>0.0</v>
      </c>
      <c r="F14" s="59">
        <v>1.0</v>
      </c>
      <c r="G14" s="59">
        <v>1.0</v>
      </c>
      <c r="H14" s="59">
        <v>1.0</v>
      </c>
      <c r="I14" s="59">
        <v>1.0</v>
      </c>
      <c r="J14" s="59">
        <v>1.0</v>
      </c>
      <c r="K14" s="59">
        <v>1.0</v>
      </c>
      <c r="L14" s="59">
        <v>1.0</v>
      </c>
      <c r="M14" s="59">
        <v>0.0</v>
      </c>
      <c r="N14" s="59">
        <v>1.0</v>
      </c>
      <c r="O14" s="59">
        <v>0.0</v>
      </c>
      <c r="P14" s="59">
        <v>0.0</v>
      </c>
      <c r="Q14" s="59">
        <v>0.0</v>
      </c>
      <c r="R14" s="59">
        <v>1.0</v>
      </c>
      <c r="S14" s="59">
        <v>0.0</v>
      </c>
      <c r="T14" s="59">
        <v>0.0</v>
      </c>
      <c r="U14" s="59">
        <v>0.0</v>
      </c>
      <c r="V14" s="59">
        <v>0.0</v>
      </c>
      <c r="W14" s="59">
        <v>0.0</v>
      </c>
      <c r="X14" s="59">
        <v>0.0</v>
      </c>
      <c r="Y14" s="59">
        <v>1.0</v>
      </c>
      <c r="Z14" s="59">
        <v>0.0</v>
      </c>
      <c r="AA14" s="59">
        <v>0.0</v>
      </c>
      <c r="AB14" s="59">
        <v>1.0</v>
      </c>
      <c r="AC14" s="59">
        <v>1.0</v>
      </c>
      <c r="AD14" s="59">
        <v>1.0</v>
      </c>
      <c r="AE14" s="59">
        <v>1.0</v>
      </c>
      <c r="AF14" s="59">
        <v>1.0</v>
      </c>
      <c r="AG14" s="59">
        <v>0.0</v>
      </c>
      <c r="AH14" s="59">
        <v>0.0</v>
      </c>
      <c r="AI14" s="59">
        <v>0.0</v>
      </c>
      <c r="AJ14" s="59">
        <v>0.0</v>
      </c>
      <c r="AK14" s="59">
        <v>0.0</v>
      </c>
      <c r="AL14" s="59">
        <v>1.0</v>
      </c>
      <c r="AM14" s="59">
        <v>0.0</v>
      </c>
      <c r="AN14" s="59">
        <v>1.0</v>
      </c>
      <c r="AO14" s="59">
        <v>0.0</v>
      </c>
      <c r="AP14" s="59">
        <v>1.0</v>
      </c>
      <c r="AQ14" s="59">
        <v>1.0</v>
      </c>
    </row>
    <row r="15">
      <c r="A15" s="27" t="s">
        <v>75</v>
      </c>
      <c r="B15" s="59">
        <v>1.0</v>
      </c>
      <c r="C15" s="59">
        <v>1.0</v>
      </c>
      <c r="D15" s="59">
        <v>0.0</v>
      </c>
      <c r="E15" s="59">
        <v>0.0</v>
      </c>
      <c r="F15" s="59">
        <v>2.0</v>
      </c>
      <c r="G15" s="59">
        <v>1.0</v>
      </c>
      <c r="H15" s="59">
        <v>1.0</v>
      </c>
      <c r="I15" s="59">
        <v>0.0</v>
      </c>
      <c r="J15" s="59">
        <v>2.0</v>
      </c>
      <c r="K15" s="59">
        <v>2.0</v>
      </c>
      <c r="L15" s="59">
        <v>0.0</v>
      </c>
      <c r="M15" s="59">
        <v>0.0</v>
      </c>
      <c r="N15" s="59">
        <v>0.0</v>
      </c>
      <c r="O15" s="59">
        <v>2.0</v>
      </c>
      <c r="P15" s="59">
        <v>0.0</v>
      </c>
      <c r="Q15" s="59">
        <v>0.0</v>
      </c>
      <c r="R15" s="59">
        <v>0.0</v>
      </c>
      <c r="S15" s="59">
        <v>0.0</v>
      </c>
      <c r="T15" s="59">
        <v>1.0</v>
      </c>
      <c r="U15" s="59">
        <v>1.0</v>
      </c>
      <c r="V15" s="59">
        <v>0.0</v>
      </c>
      <c r="W15" s="59">
        <v>0.0</v>
      </c>
      <c r="X15" s="59">
        <v>0.0</v>
      </c>
      <c r="Y15" s="59">
        <v>2.0</v>
      </c>
      <c r="Z15" s="59">
        <v>0.0</v>
      </c>
      <c r="AA15" s="59">
        <v>0.0</v>
      </c>
      <c r="AB15" s="59">
        <v>2.0</v>
      </c>
      <c r="AC15" s="59">
        <v>0.0</v>
      </c>
      <c r="AD15" s="59">
        <v>1.0</v>
      </c>
      <c r="AE15" s="59">
        <v>1.0</v>
      </c>
      <c r="AF15" s="59">
        <v>2.0</v>
      </c>
      <c r="AG15" s="59">
        <v>0.0</v>
      </c>
      <c r="AH15" s="59">
        <v>2.0</v>
      </c>
      <c r="AI15" s="59">
        <v>2.0</v>
      </c>
      <c r="AJ15" s="59">
        <v>0.0</v>
      </c>
      <c r="AK15" s="59">
        <v>0.0</v>
      </c>
      <c r="AL15" s="59">
        <v>1.0</v>
      </c>
      <c r="AM15" s="59">
        <v>0.0</v>
      </c>
      <c r="AN15" s="59">
        <v>2.0</v>
      </c>
      <c r="AO15" s="59">
        <v>0.0</v>
      </c>
      <c r="AP15" s="59">
        <v>0.0</v>
      </c>
      <c r="AQ15" s="59">
        <v>2.0</v>
      </c>
    </row>
    <row r="16">
      <c r="A16" s="27" t="s">
        <v>76</v>
      </c>
      <c r="B16" s="59">
        <v>0.0</v>
      </c>
      <c r="C16" s="59">
        <v>1.0</v>
      </c>
      <c r="D16" s="59">
        <v>1.0</v>
      </c>
      <c r="E16" s="59">
        <v>1.0</v>
      </c>
      <c r="F16" s="59">
        <v>3.0</v>
      </c>
      <c r="G16" s="59">
        <v>0.0</v>
      </c>
      <c r="H16" s="59">
        <v>1.0</v>
      </c>
      <c r="I16" s="59">
        <v>1.0</v>
      </c>
      <c r="J16" s="59">
        <v>2.0</v>
      </c>
      <c r="K16" s="59">
        <v>0.0</v>
      </c>
      <c r="L16" s="59">
        <v>0.0</v>
      </c>
      <c r="M16" s="59">
        <v>0.0</v>
      </c>
      <c r="N16" s="59">
        <v>0.0</v>
      </c>
      <c r="O16" s="59">
        <v>0.0</v>
      </c>
      <c r="P16" s="59">
        <v>3.0</v>
      </c>
      <c r="Q16" s="59">
        <v>1.0</v>
      </c>
      <c r="R16" s="59">
        <v>1.0</v>
      </c>
      <c r="S16" s="59">
        <v>1.0</v>
      </c>
      <c r="T16" s="59">
        <v>2.0</v>
      </c>
      <c r="U16" s="59">
        <v>1.0</v>
      </c>
      <c r="V16" s="59">
        <v>0.0</v>
      </c>
      <c r="W16" s="59">
        <v>0.0</v>
      </c>
      <c r="X16" s="59">
        <v>0.0</v>
      </c>
      <c r="Y16" s="59">
        <v>0.0</v>
      </c>
      <c r="Z16" s="59">
        <v>0.0</v>
      </c>
      <c r="AA16" s="59">
        <v>0.0</v>
      </c>
      <c r="AB16" s="59">
        <v>1.0</v>
      </c>
      <c r="AC16" s="59">
        <v>1.0</v>
      </c>
      <c r="AD16" s="59">
        <v>2.0</v>
      </c>
      <c r="AE16" s="59">
        <v>0.0</v>
      </c>
      <c r="AF16" s="59">
        <v>3.0</v>
      </c>
      <c r="AG16" s="59">
        <v>2.0</v>
      </c>
      <c r="AH16" s="59">
        <v>1.0</v>
      </c>
      <c r="AI16" s="59">
        <v>1.0</v>
      </c>
      <c r="AJ16" s="59">
        <v>1.0</v>
      </c>
      <c r="AK16" s="59">
        <v>0.0</v>
      </c>
      <c r="AL16" s="59">
        <v>1.0</v>
      </c>
      <c r="AM16" s="59">
        <v>0.0</v>
      </c>
      <c r="AN16" s="59">
        <v>2.0</v>
      </c>
      <c r="AO16" s="59">
        <v>1.0</v>
      </c>
      <c r="AP16" s="59">
        <v>0.0</v>
      </c>
      <c r="AQ16" s="59">
        <v>3.0</v>
      </c>
    </row>
    <row r="17">
      <c r="A17" s="27" t="s">
        <v>77</v>
      </c>
      <c r="B17" s="59">
        <v>0.0</v>
      </c>
      <c r="C17" s="59">
        <v>0.0</v>
      </c>
      <c r="D17" s="59">
        <v>1.0</v>
      </c>
      <c r="E17" s="59">
        <v>0.0</v>
      </c>
      <c r="F17" s="59">
        <v>1.0</v>
      </c>
      <c r="G17" s="59">
        <v>0.0</v>
      </c>
      <c r="H17" s="59">
        <v>0.0</v>
      </c>
      <c r="I17" s="59">
        <v>0.0</v>
      </c>
      <c r="J17" s="59">
        <v>1.0</v>
      </c>
      <c r="K17" s="59">
        <v>0.0</v>
      </c>
      <c r="L17" s="59">
        <v>0.0</v>
      </c>
      <c r="M17" s="59">
        <v>0.0</v>
      </c>
      <c r="N17" s="59">
        <v>0.0</v>
      </c>
      <c r="O17" s="59">
        <v>0.0</v>
      </c>
      <c r="P17" s="59">
        <v>1.0</v>
      </c>
      <c r="Q17" s="59">
        <v>1.0</v>
      </c>
      <c r="R17" s="59">
        <v>1.0</v>
      </c>
      <c r="S17" s="59">
        <v>0.0</v>
      </c>
      <c r="T17" s="59">
        <v>0.0</v>
      </c>
      <c r="U17" s="59">
        <v>0.0</v>
      </c>
      <c r="V17" s="59">
        <v>0.0</v>
      </c>
      <c r="W17" s="59">
        <v>0.0</v>
      </c>
      <c r="X17" s="59">
        <v>0.0</v>
      </c>
      <c r="Y17" s="59">
        <v>0.0</v>
      </c>
      <c r="Z17" s="59">
        <v>0.0</v>
      </c>
      <c r="AA17" s="59">
        <v>0.0</v>
      </c>
      <c r="AB17" s="59">
        <v>0.0</v>
      </c>
      <c r="AC17" s="59">
        <v>1.0</v>
      </c>
      <c r="AD17" s="59">
        <v>1.0</v>
      </c>
      <c r="AE17" s="59">
        <v>0.0</v>
      </c>
      <c r="AF17" s="59">
        <v>1.0</v>
      </c>
      <c r="AG17" s="59">
        <v>1.0</v>
      </c>
      <c r="AH17" s="59">
        <v>0.0</v>
      </c>
      <c r="AI17" s="59">
        <v>0.0</v>
      </c>
      <c r="AJ17" s="59">
        <v>0.0</v>
      </c>
      <c r="AK17" s="59">
        <v>0.0</v>
      </c>
      <c r="AL17" s="59">
        <v>0.0</v>
      </c>
      <c r="AM17" s="59">
        <v>0.0</v>
      </c>
      <c r="AN17" s="59">
        <v>1.0</v>
      </c>
      <c r="AO17" s="59">
        <v>0.0</v>
      </c>
      <c r="AP17" s="59">
        <v>0.0</v>
      </c>
      <c r="AQ17" s="59">
        <v>1.0</v>
      </c>
    </row>
    <row r="18">
      <c r="A18" s="27" t="s">
        <v>78</v>
      </c>
      <c r="B18" s="59">
        <v>1.0</v>
      </c>
      <c r="C18" s="59">
        <v>0.0</v>
      </c>
      <c r="D18" s="59">
        <v>2.0</v>
      </c>
      <c r="E18" s="59">
        <v>0.0</v>
      </c>
      <c r="F18" s="59">
        <v>2.0</v>
      </c>
      <c r="G18" s="59">
        <v>1.0</v>
      </c>
      <c r="H18" s="59">
        <v>1.0</v>
      </c>
      <c r="I18" s="59">
        <v>1.0</v>
      </c>
      <c r="J18" s="59">
        <v>2.0</v>
      </c>
      <c r="K18" s="59">
        <v>1.0</v>
      </c>
      <c r="L18" s="59">
        <v>1.0</v>
      </c>
      <c r="M18" s="59">
        <v>0.0</v>
      </c>
      <c r="N18" s="59">
        <v>1.0</v>
      </c>
      <c r="O18" s="59">
        <v>0.0</v>
      </c>
      <c r="P18" s="59">
        <v>1.0</v>
      </c>
      <c r="Q18" s="59">
        <v>1.0</v>
      </c>
      <c r="R18" s="59">
        <v>2.0</v>
      </c>
      <c r="S18" s="59">
        <v>0.0</v>
      </c>
      <c r="T18" s="59">
        <v>0.0</v>
      </c>
      <c r="U18" s="59">
        <v>0.0</v>
      </c>
      <c r="V18" s="59">
        <v>0.0</v>
      </c>
      <c r="W18" s="59">
        <v>0.0</v>
      </c>
      <c r="X18" s="59">
        <v>0.0</v>
      </c>
      <c r="Y18" s="59">
        <v>1.0</v>
      </c>
      <c r="Z18" s="59">
        <v>0.0</v>
      </c>
      <c r="AA18" s="59">
        <v>0.0</v>
      </c>
      <c r="AB18" s="59">
        <v>1.0</v>
      </c>
      <c r="AC18" s="59">
        <v>2.0</v>
      </c>
      <c r="AD18" s="59">
        <v>2.0</v>
      </c>
      <c r="AE18" s="59">
        <v>1.0</v>
      </c>
      <c r="AF18" s="59">
        <v>2.0</v>
      </c>
      <c r="AG18" s="59">
        <v>1.0</v>
      </c>
      <c r="AH18" s="59">
        <v>0.0</v>
      </c>
      <c r="AI18" s="59">
        <v>0.0</v>
      </c>
      <c r="AJ18" s="59">
        <v>0.0</v>
      </c>
      <c r="AK18" s="59">
        <v>0.0</v>
      </c>
      <c r="AL18" s="59">
        <v>1.0</v>
      </c>
      <c r="AM18" s="59">
        <v>0.0</v>
      </c>
      <c r="AN18" s="59">
        <v>2.0</v>
      </c>
      <c r="AO18" s="59">
        <v>0.0</v>
      </c>
      <c r="AP18" s="59">
        <v>1.0</v>
      </c>
      <c r="AQ18" s="59">
        <v>2.0</v>
      </c>
    </row>
    <row r="19">
      <c r="A19" s="27" t="s">
        <v>79</v>
      </c>
      <c r="B19" s="59">
        <v>1.0</v>
      </c>
      <c r="C19" s="59">
        <v>1.0</v>
      </c>
      <c r="D19" s="59">
        <v>0.0</v>
      </c>
      <c r="E19" s="59">
        <v>1.0</v>
      </c>
      <c r="F19" s="59">
        <v>3.0</v>
      </c>
      <c r="G19" s="59">
        <v>0.0</v>
      </c>
      <c r="H19" s="59">
        <v>3.0</v>
      </c>
      <c r="I19" s="59">
        <v>2.0</v>
      </c>
      <c r="J19" s="59">
        <v>2.0</v>
      </c>
      <c r="K19" s="59">
        <v>0.0</v>
      </c>
      <c r="L19" s="59">
        <v>0.0</v>
      </c>
      <c r="M19" s="59">
        <v>1.0</v>
      </c>
      <c r="N19" s="59">
        <v>0.0</v>
      </c>
      <c r="O19" s="59">
        <v>0.0</v>
      </c>
      <c r="P19" s="59">
        <v>1.0</v>
      </c>
      <c r="Q19" s="59">
        <v>0.0</v>
      </c>
      <c r="R19" s="59">
        <v>0.0</v>
      </c>
      <c r="S19" s="59">
        <v>3.0</v>
      </c>
      <c r="T19" s="59">
        <v>3.0</v>
      </c>
      <c r="U19" s="59">
        <v>3.0</v>
      </c>
      <c r="V19" s="59">
        <v>0.0</v>
      </c>
      <c r="W19" s="59">
        <v>1.0</v>
      </c>
      <c r="X19" s="59">
        <v>1.0</v>
      </c>
      <c r="Y19" s="59">
        <v>0.0</v>
      </c>
      <c r="Z19" s="59">
        <v>1.0</v>
      </c>
      <c r="AA19" s="59">
        <v>1.0</v>
      </c>
      <c r="AB19" s="59">
        <v>2.0</v>
      </c>
      <c r="AC19" s="59">
        <v>1.0</v>
      </c>
      <c r="AD19" s="59">
        <v>1.0</v>
      </c>
      <c r="AE19" s="59">
        <v>1.0</v>
      </c>
      <c r="AF19" s="59">
        <v>3.0</v>
      </c>
      <c r="AG19" s="59">
        <v>1.0</v>
      </c>
      <c r="AH19" s="59">
        <v>1.0</v>
      </c>
      <c r="AI19" s="59">
        <v>1.0</v>
      </c>
      <c r="AJ19" s="59">
        <v>1.0</v>
      </c>
      <c r="AK19" s="59">
        <v>1.0</v>
      </c>
      <c r="AL19" s="59">
        <v>1.0</v>
      </c>
      <c r="AM19" s="59">
        <v>1.0</v>
      </c>
      <c r="AN19" s="59">
        <v>3.0</v>
      </c>
      <c r="AO19" s="59">
        <v>1.0</v>
      </c>
      <c r="AP19" s="59">
        <v>1.0</v>
      </c>
      <c r="AQ19" s="59">
        <v>1.0</v>
      </c>
    </row>
    <row r="20">
      <c r="A20" s="27" t="s">
        <v>80</v>
      </c>
      <c r="B20" s="59">
        <v>2.0</v>
      </c>
      <c r="C20" s="59">
        <v>2.0</v>
      </c>
      <c r="D20" s="59">
        <v>0.0</v>
      </c>
      <c r="E20" s="59">
        <v>1.0</v>
      </c>
      <c r="F20" s="59">
        <v>6.0</v>
      </c>
      <c r="G20" s="59">
        <v>0.0</v>
      </c>
      <c r="H20" s="59">
        <v>4.0</v>
      </c>
      <c r="I20" s="59">
        <v>2.0</v>
      </c>
      <c r="J20" s="59">
        <v>3.0</v>
      </c>
      <c r="K20" s="59">
        <v>1.0</v>
      </c>
      <c r="L20" s="59">
        <v>0.0</v>
      </c>
      <c r="M20" s="59">
        <v>1.0</v>
      </c>
      <c r="N20" s="59">
        <v>0.0</v>
      </c>
      <c r="O20" s="59">
        <v>1.0</v>
      </c>
      <c r="P20" s="59">
        <v>2.0</v>
      </c>
      <c r="Q20" s="59">
        <v>0.0</v>
      </c>
      <c r="R20" s="59">
        <v>0.0</v>
      </c>
      <c r="S20" s="59">
        <v>3.0</v>
      </c>
      <c r="T20" s="59">
        <v>6.0</v>
      </c>
      <c r="U20" s="59">
        <v>3.0</v>
      </c>
      <c r="V20" s="59">
        <v>1.0</v>
      </c>
      <c r="W20" s="59">
        <v>1.0</v>
      </c>
      <c r="X20" s="59">
        <v>1.0</v>
      </c>
      <c r="Y20" s="59">
        <v>1.0</v>
      </c>
      <c r="Z20" s="59">
        <v>1.0</v>
      </c>
      <c r="AA20" s="59">
        <v>1.0</v>
      </c>
      <c r="AB20" s="59">
        <v>5.0</v>
      </c>
      <c r="AC20" s="59">
        <v>2.0</v>
      </c>
      <c r="AD20" s="59">
        <v>1.0</v>
      </c>
      <c r="AE20" s="59">
        <v>2.0</v>
      </c>
      <c r="AF20" s="59">
        <v>6.0</v>
      </c>
      <c r="AG20" s="59">
        <v>1.0</v>
      </c>
      <c r="AH20" s="59">
        <v>2.0</v>
      </c>
      <c r="AI20" s="59">
        <v>2.0</v>
      </c>
      <c r="AJ20" s="59">
        <v>1.0</v>
      </c>
      <c r="AK20" s="59">
        <v>1.0</v>
      </c>
      <c r="AL20" s="59">
        <v>4.0</v>
      </c>
      <c r="AM20" s="59">
        <v>1.0</v>
      </c>
      <c r="AN20" s="59">
        <v>4.0</v>
      </c>
      <c r="AO20" s="59">
        <v>1.0</v>
      </c>
      <c r="AP20" s="59">
        <v>2.0</v>
      </c>
      <c r="AQ20" s="59">
        <v>3.0</v>
      </c>
    </row>
    <row r="21">
      <c r="A21" s="27" t="s">
        <v>81</v>
      </c>
      <c r="B21" s="59">
        <v>1.0</v>
      </c>
      <c r="C21" s="59">
        <v>2.0</v>
      </c>
      <c r="D21" s="59">
        <v>0.0</v>
      </c>
      <c r="E21" s="59">
        <v>1.0</v>
      </c>
      <c r="F21" s="59">
        <v>4.0</v>
      </c>
      <c r="G21" s="59">
        <v>1.0</v>
      </c>
      <c r="H21" s="59">
        <v>4.0</v>
      </c>
      <c r="I21" s="59">
        <v>2.0</v>
      </c>
      <c r="J21" s="59">
        <v>3.0</v>
      </c>
      <c r="K21" s="59">
        <v>1.0</v>
      </c>
      <c r="L21" s="59">
        <v>0.0</v>
      </c>
      <c r="M21" s="59">
        <v>1.0</v>
      </c>
      <c r="N21" s="59">
        <v>0.0</v>
      </c>
      <c r="O21" s="59">
        <v>1.0</v>
      </c>
      <c r="P21" s="59">
        <v>1.0</v>
      </c>
      <c r="Q21" s="59">
        <v>0.0</v>
      </c>
      <c r="R21" s="59">
        <v>0.0</v>
      </c>
      <c r="S21" s="59">
        <v>3.0</v>
      </c>
      <c r="T21" s="59">
        <v>3.0</v>
      </c>
      <c r="U21" s="59">
        <v>4.0</v>
      </c>
      <c r="V21" s="59">
        <v>0.0</v>
      </c>
      <c r="W21" s="59">
        <v>1.0</v>
      </c>
      <c r="X21" s="59">
        <v>1.0</v>
      </c>
      <c r="Y21" s="59">
        <v>1.0</v>
      </c>
      <c r="Z21" s="59">
        <v>1.0</v>
      </c>
      <c r="AA21" s="59">
        <v>1.0</v>
      </c>
      <c r="AB21" s="59">
        <v>3.0</v>
      </c>
      <c r="AC21" s="59">
        <v>1.0</v>
      </c>
      <c r="AD21" s="59">
        <v>2.0</v>
      </c>
      <c r="AE21" s="59">
        <v>1.0</v>
      </c>
      <c r="AF21" s="59">
        <v>4.0</v>
      </c>
      <c r="AG21" s="59">
        <v>1.0</v>
      </c>
      <c r="AH21" s="59">
        <v>2.0</v>
      </c>
      <c r="AI21" s="59">
        <v>2.0</v>
      </c>
      <c r="AJ21" s="59">
        <v>1.0</v>
      </c>
      <c r="AK21" s="59">
        <v>1.0</v>
      </c>
      <c r="AL21" s="59">
        <v>1.0</v>
      </c>
      <c r="AM21" s="59">
        <v>1.0</v>
      </c>
      <c r="AN21" s="59">
        <v>4.0</v>
      </c>
      <c r="AO21" s="59">
        <v>1.0</v>
      </c>
      <c r="AP21" s="59">
        <v>1.0</v>
      </c>
      <c r="AQ21" s="59">
        <v>2.0</v>
      </c>
    </row>
    <row r="22">
      <c r="A22" s="27" t="s">
        <v>82</v>
      </c>
      <c r="B22" s="59">
        <v>0.0</v>
      </c>
      <c r="C22" s="59">
        <v>0.0</v>
      </c>
      <c r="D22" s="59">
        <v>0.0</v>
      </c>
      <c r="E22" s="59">
        <v>0.0</v>
      </c>
      <c r="F22" s="59">
        <v>1.0</v>
      </c>
      <c r="G22" s="59">
        <v>0.0</v>
      </c>
      <c r="H22" s="59">
        <v>1.0</v>
      </c>
      <c r="I22" s="59">
        <v>0.0</v>
      </c>
      <c r="J22" s="59">
        <v>0.0</v>
      </c>
      <c r="K22" s="59">
        <v>0.0</v>
      </c>
      <c r="L22" s="59">
        <v>0.0</v>
      </c>
      <c r="M22" s="59">
        <v>0.0</v>
      </c>
      <c r="N22" s="59">
        <v>0.0</v>
      </c>
      <c r="O22" s="59">
        <v>0.0</v>
      </c>
      <c r="P22" s="59">
        <v>0.0</v>
      </c>
      <c r="Q22" s="59">
        <v>0.0</v>
      </c>
      <c r="R22" s="59">
        <v>0.0</v>
      </c>
      <c r="S22" s="59">
        <v>0.0</v>
      </c>
      <c r="T22" s="59">
        <v>1.0</v>
      </c>
      <c r="U22" s="59">
        <v>0.0</v>
      </c>
      <c r="V22" s="59">
        <v>1.0</v>
      </c>
      <c r="W22" s="59">
        <v>0.0</v>
      </c>
      <c r="X22" s="59">
        <v>0.0</v>
      </c>
      <c r="Y22" s="59">
        <v>0.0</v>
      </c>
      <c r="Z22" s="59">
        <v>0.0</v>
      </c>
      <c r="AA22" s="59">
        <v>0.0</v>
      </c>
      <c r="AB22" s="59">
        <v>1.0</v>
      </c>
      <c r="AC22" s="59">
        <v>1.0</v>
      </c>
      <c r="AD22" s="59">
        <v>0.0</v>
      </c>
      <c r="AE22" s="59">
        <v>0.0</v>
      </c>
      <c r="AF22" s="59">
        <v>1.0</v>
      </c>
      <c r="AG22" s="59">
        <v>0.0</v>
      </c>
      <c r="AH22" s="59">
        <v>0.0</v>
      </c>
      <c r="AI22" s="59">
        <v>0.0</v>
      </c>
      <c r="AJ22" s="59">
        <v>0.0</v>
      </c>
      <c r="AK22" s="59">
        <v>0.0</v>
      </c>
      <c r="AL22" s="59">
        <v>1.0</v>
      </c>
      <c r="AM22" s="59">
        <v>0.0</v>
      </c>
      <c r="AN22" s="59">
        <v>0.0</v>
      </c>
      <c r="AO22" s="59">
        <v>0.0</v>
      </c>
      <c r="AP22" s="59">
        <v>1.0</v>
      </c>
      <c r="AQ22" s="59">
        <v>0.0</v>
      </c>
    </row>
    <row r="23">
      <c r="A23" s="27" t="s">
        <v>83</v>
      </c>
      <c r="B23" s="59">
        <v>1.0</v>
      </c>
      <c r="C23" s="59">
        <v>1.0</v>
      </c>
      <c r="D23" s="59">
        <v>0.0</v>
      </c>
      <c r="E23" s="59">
        <v>0.0</v>
      </c>
      <c r="F23" s="59">
        <v>1.0</v>
      </c>
      <c r="G23" s="59">
        <v>0.0</v>
      </c>
      <c r="H23" s="59">
        <v>1.0</v>
      </c>
      <c r="I23" s="59">
        <v>1.0</v>
      </c>
      <c r="J23" s="59">
        <v>0.0</v>
      </c>
      <c r="K23" s="59">
        <v>0.0</v>
      </c>
      <c r="L23" s="59">
        <v>0.0</v>
      </c>
      <c r="M23" s="59">
        <v>1.0</v>
      </c>
      <c r="N23" s="59">
        <v>0.0</v>
      </c>
      <c r="O23" s="59">
        <v>0.0</v>
      </c>
      <c r="P23" s="59">
        <v>0.0</v>
      </c>
      <c r="Q23" s="59">
        <v>0.0</v>
      </c>
      <c r="R23" s="59">
        <v>0.0</v>
      </c>
      <c r="S23" s="59">
        <v>1.0</v>
      </c>
      <c r="T23" s="59">
        <v>1.0</v>
      </c>
      <c r="U23" s="59">
        <v>1.0</v>
      </c>
      <c r="V23" s="59">
        <v>0.0</v>
      </c>
      <c r="W23" s="59">
        <v>1.0</v>
      </c>
      <c r="X23" s="59">
        <v>1.0</v>
      </c>
      <c r="Y23" s="59">
        <v>0.0</v>
      </c>
      <c r="Z23" s="59">
        <v>1.0</v>
      </c>
      <c r="AA23" s="59">
        <v>1.0</v>
      </c>
      <c r="AB23" s="59">
        <v>1.0</v>
      </c>
      <c r="AC23" s="59">
        <v>1.0</v>
      </c>
      <c r="AD23" s="59">
        <v>0.0</v>
      </c>
      <c r="AE23" s="59">
        <v>1.0</v>
      </c>
      <c r="AF23" s="59">
        <v>1.0</v>
      </c>
      <c r="AG23" s="59">
        <v>0.0</v>
      </c>
      <c r="AH23" s="59">
        <v>0.0</v>
      </c>
      <c r="AI23" s="59">
        <v>0.0</v>
      </c>
      <c r="AJ23" s="59">
        <v>0.0</v>
      </c>
      <c r="AK23" s="59">
        <v>1.0</v>
      </c>
      <c r="AL23" s="59">
        <v>1.0</v>
      </c>
      <c r="AM23" s="59">
        <v>1.0</v>
      </c>
      <c r="AN23" s="59">
        <v>1.0</v>
      </c>
      <c r="AO23" s="59">
        <v>0.0</v>
      </c>
      <c r="AP23" s="59">
        <v>1.0</v>
      </c>
      <c r="AQ23" s="59">
        <v>0.0</v>
      </c>
    </row>
    <row r="24">
      <c r="A24" s="27" t="s">
        <v>84</v>
      </c>
      <c r="B24" s="59">
        <v>1.0</v>
      </c>
      <c r="C24" s="59">
        <v>1.0</v>
      </c>
      <c r="D24" s="59">
        <v>0.0</v>
      </c>
      <c r="E24" s="59">
        <v>0.0</v>
      </c>
      <c r="F24" s="59">
        <v>1.0</v>
      </c>
      <c r="G24" s="59">
        <v>0.0</v>
      </c>
      <c r="H24" s="59">
        <v>1.0</v>
      </c>
      <c r="I24" s="59">
        <v>1.0</v>
      </c>
      <c r="J24" s="59">
        <v>0.0</v>
      </c>
      <c r="K24" s="59">
        <v>0.0</v>
      </c>
      <c r="L24" s="59">
        <v>0.0</v>
      </c>
      <c r="M24" s="59">
        <v>1.0</v>
      </c>
      <c r="N24" s="59">
        <v>0.0</v>
      </c>
      <c r="O24" s="59">
        <v>0.0</v>
      </c>
      <c r="P24" s="59">
        <v>0.0</v>
      </c>
      <c r="Q24" s="59">
        <v>0.0</v>
      </c>
      <c r="R24" s="59">
        <v>0.0</v>
      </c>
      <c r="S24" s="59">
        <v>1.0</v>
      </c>
      <c r="T24" s="59">
        <v>1.0</v>
      </c>
      <c r="U24" s="59">
        <v>1.0</v>
      </c>
      <c r="V24" s="59">
        <v>0.0</v>
      </c>
      <c r="W24" s="59">
        <v>1.0</v>
      </c>
      <c r="X24" s="59">
        <v>1.0</v>
      </c>
      <c r="Y24" s="59">
        <v>0.0</v>
      </c>
      <c r="Z24" s="59">
        <v>1.0</v>
      </c>
      <c r="AA24" s="59">
        <v>1.0</v>
      </c>
      <c r="AB24" s="59">
        <v>1.0</v>
      </c>
      <c r="AC24" s="59">
        <v>1.0</v>
      </c>
      <c r="AD24" s="59">
        <v>0.0</v>
      </c>
      <c r="AE24" s="59">
        <v>1.0</v>
      </c>
      <c r="AF24" s="59">
        <v>1.0</v>
      </c>
      <c r="AG24" s="59">
        <v>0.0</v>
      </c>
      <c r="AH24" s="59">
        <v>0.0</v>
      </c>
      <c r="AI24" s="59">
        <v>0.0</v>
      </c>
      <c r="AJ24" s="59">
        <v>0.0</v>
      </c>
      <c r="AK24" s="59">
        <v>1.0</v>
      </c>
      <c r="AL24" s="59">
        <v>1.0</v>
      </c>
      <c r="AM24" s="59">
        <v>1.0</v>
      </c>
      <c r="AN24" s="59">
        <v>1.0</v>
      </c>
      <c r="AO24" s="59">
        <v>0.0</v>
      </c>
      <c r="AP24" s="59">
        <v>1.0</v>
      </c>
      <c r="AQ24" s="59">
        <v>0.0</v>
      </c>
    </row>
    <row r="25">
      <c r="A25" s="27" t="s">
        <v>85</v>
      </c>
      <c r="B25" s="59">
        <v>2.0</v>
      </c>
      <c r="C25" s="59">
        <v>1.0</v>
      </c>
      <c r="D25" s="59">
        <v>1.0</v>
      </c>
      <c r="E25" s="59">
        <v>0.0</v>
      </c>
      <c r="F25" s="59">
        <v>3.0</v>
      </c>
      <c r="G25" s="59">
        <v>2.0</v>
      </c>
      <c r="H25" s="59">
        <v>2.0</v>
      </c>
      <c r="I25" s="59">
        <v>1.0</v>
      </c>
      <c r="J25" s="59">
        <v>3.0</v>
      </c>
      <c r="K25" s="59">
        <v>3.0</v>
      </c>
      <c r="L25" s="59">
        <v>1.0</v>
      </c>
      <c r="M25" s="59">
        <v>0.0</v>
      </c>
      <c r="N25" s="59">
        <v>1.0</v>
      </c>
      <c r="O25" s="59">
        <v>2.0</v>
      </c>
      <c r="P25" s="59">
        <v>0.0</v>
      </c>
      <c r="Q25" s="59">
        <v>0.0</v>
      </c>
      <c r="R25" s="59">
        <v>1.0</v>
      </c>
      <c r="S25" s="59">
        <v>0.0</v>
      </c>
      <c r="T25" s="59">
        <v>1.0</v>
      </c>
      <c r="U25" s="59">
        <v>1.0</v>
      </c>
      <c r="V25" s="59">
        <v>0.0</v>
      </c>
      <c r="W25" s="59">
        <v>0.0</v>
      </c>
      <c r="X25" s="59">
        <v>0.0</v>
      </c>
      <c r="Y25" s="59">
        <v>3.0</v>
      </c>
      <c r="Z25" s="59">
        <v>0.0</v>
      </c>
      <c r="AA25" s="59">
        <v>0.0</v>
      </c>
      <c r="AB25" s="59">
        <v>3.0</v>
      </c>
      <c r="AC25" s="59">
        <v>1.0</v>
      </c>
      <c r="AD25" s="59">
        <v>2.0</v>
      </c>
      <c r="AE25" s="59">
        <v>2.0</v>
      </c>
      <c r="AF25" s="59">
        <v>3.0</v>
      </c>
      <c r="AG25" s="59">
        <v>0.0</v>
      </c>
      <c r="AH25" s="59">
        <v>2.0</v>
      </c>
      <c r="AI25" s="59">
        <v>2.0</v>
      </c>
      <c r="AJ25" s="59">
        <v>0.0</v>
      </c>
      <c r="AK25" s="59">
        <v>0.0</v>
      </c>
      <c r="AL25" s="59">
        <v>2.0</v>
      </c>
      <c r="AM25" s="59">
        <v>0.0</v>
      </c>
      <c r="AN25" s="59">
        <v>3.0</v>
      </c>
      <c r="AO25" s="59">
        <v>0.0</v>
      </c>
      <c r="AP25" s="59">
        <v>1.0</v>
      </c>
      <c r="AQ25" s="59">
        <v>3.0</v>
      </c>
    </row>
    <row r="26">
      <c r="A26" s="27" t="s">
        <v>86</v>
      </c>
      <c r="B26" s="59">
        <v>1.0</v>
      </c>
      <c r="C26" s="59">
        <v>1.0</v>
      </c>
      <c r="D26" s="59">
        <v>0.0</v>
      </c>
      <c r="E26" s="59">
        <v>0.0</v>
      </c>
      <c r="F26" s="59">
        <v>1.0</v>
      </c>
      <c r="G26" s="59">
        <v>0.0</v>
      </c>
      <c r="H26" s="59">
        <v>1.0</v>
      </c>
      <c r="I26" s="59">
        <v>1.0</v>
      </c>
      <c r="J26" s="59">
        <v>0.0</v>
      </c>
      <c r="K26" s="59">
        <v>0.0</v>
      </c>
      <c r="L26" s="59">
        <v>0.0</v>
      </c>
      <c r="M26" s="59">
        <v>1.0</v>
      </c>
      <c r="N26" s="59">
        <v>0.0</v>
      </c>
      <c r="O26" s="59">
        <v>0.0</v>
      </c>
      <c r="P26" s="59">
        <v>0.0</v>
      </c>
      <c r="Q26" s="59">
        <v>0.0</v>
      </c>
      <c r="R26" s="59">
        <v>0.0</v>
      </c>
      <c r="S26" s="59">
        <v>1.0</v>
      </c>
      <c r="T26" s="59">
        <v>1.0</v>
      </c>
      <c r="U26" s="59">
        <v>1.0</v>
      </c>
      <c r="V26" s="59">
        <v>0.0</v>
      </c>
      <c r="W26" s="59">
        <v>1.0</v>
      </c>
      <c r="X26" s="59">
        <v>1.0</v>
      </c>
      <c r="Y26" s="59">
        <v>0.0</v>
      </c>
      <c r="Z26" s="59">
        <v>1.0</v>
      </c>
      <c r="AA26" s="59">
        <v>1.0</v>
      </c>
      <c r="AB26" s="59">
        <v>1.0</v>
      </c>
      <c r="AC26" s="59">
        <v>1.0</v>
      </c>
      <c r="AD26" s="59">
        <v>0.0</v>
      </c>
      <c r="AE26" s="59">
        <v>1.0</v>
      </c>
      <c r="AF26" s="59">
        <v>1.0</v>
      </c>
      <c r="AG26" s="59">
        <v>0.0</v>
      </c>
      <c r="AH26" s="59">
        <v>0.0</v>
      </c>
      <c r="AI26" s="59">
        <v>0.0</v>
      </c>
      <c r="AJ26" s="59">
        <v>0.0</v>
      </c>
      <c r="AK26" s="59">
        <v>1.0</v>
      </c>
      <c r="AL26" s="59">
        <v>1.0</v>
      </c>
      <c r="AM26" s="59">
        <v>1.0</v>
      </c>
      <c r="AN26" s="59">
        <v>1.0</v>
      </c>
      <c r="AO26" s="59">
        <v>0.0</v>
      </c>
      <c r="AP26" s="59">
        <v>1.0</v>
      </c>
      <c r="AQ26" s="59">
        <v>0.0</v>
      </c>
    </row>
    <row r="27">
      <c r="A27" s="27" t="s">
        <v>87</v>
      </c>
      <c r="B27" s="59">
        <v>1.0</v>
      </c>
      <c r="C27" s="59">
        <v>1.0</v>
      </c>
      <c r="D27" s="59">
        <v>0.0</v>
      </c>
      <c r="E27" s="59">
        <v>0.0</v>
      </c>
      <c r="F27" s="59">
        <v>1.0</v>
      </c>
      <c r="G27" s="59">
        <v>0.0</v>
      </c>
      <c r="H27" s="59">
        <v>1.0</v>
      </c>
      <c r="I27" s="59">
        <v>1.0</v>
      </c>
      <c r="J27" s="59">
        <v>0.0</v>
      </c>
      <c r="K27" s="59">
        <v>0.0</v>
      </c>
      <c r="L27" s="59">
        <v>0.0</v>
      </c>
      <c r="M27" s="59">
        <v>1.0</v>
      </c>
      <c r="N27" s="59">
        <v>0.0</v>
      </c>
      <c r="O27" s="59">
        <v>0.0</v>
      </c>
      <c r="P27" s="59">
        <v>0.0</v>
      </c>
      <c r="Q27" s="59">
        <v>0.0</v>
      </c>
      <c r="R27" s="59">
        <v>0.0</v>
      </c>
      <c r="S27" s="59">
        <v>1.0</v>
      </c>
      <c r="T27" s="59">
        <v>1.0</v>
      </c>
      <c r="U27" s="59">
        <v>1.0</v>
      </c>
      <c r="V27" s="59">
        <v>0.0</v>
      </c>
      <c r="W27" s="59">
        <v>1.0</v>
      </c>
      <c r="X27" s="59">
        <v>1.0</v>
      </c>
      <c r="Y27" s="59">
        <v>0.0</v>
      </c>
      <c r="Z27" s="59">
        <v>1.0</v>
      </c>
      <c r="AA27" s="59">
        <v>1.0</v>
      </c>
      <c r="AB27" s="59">
        <v>1.0</v>
      </c>
      <c r="AC27" s="59">
        <v>1.0</v>
      </c>
      <c r="AD27" s="59">
        <v>0.0</v>
      </c>
      <c r="AE27" s="59">
        <v>1.0</v>
      </c>
      <c r="AF27" s="59">
        <v>1.0</v>
      </c>
      <c r="AG27" s="59">
        <v>0.0</v>
      </c>
      <c r="AH27" s="59">
        <v>0.0</v>
      </c>
      <c r="AI27" s="59">
        <v>0.0</v>
      </c>
      <c r="AJ27" s="59">
        <v>0.0</v>
      </c>
      <c r="AK27" s="59">
        <v>1.0</v>
      </c>
      <c r="AL27" s="59">
        <v>1.0</v>
      </c>
      <c r="AM27" s="59">
        <v>1.0</v>
      </c>
      <c r="AN27" s="59">
        <v>1.0</v>
      </c>
      <c r="AO27" s="59">
        <v>0.0</v>
      </c>
      <c r="AP27" s="59">
        <v>1.0</v>
      </c>
      <c r="AQ27" s="59">
        <v>0.0</v>
      </c>
    </row>
    <row r="28">
      <c r="A28" s="27" t="s">
        <v>88</v>
      </c>
      <c r="B28" s="59">
        <v>3.0</v>
      </c>
      <c r="C28" s="59">
        <v>3.0</v>
      </c>
      <c r="D28" s="59">
        <v>1.0</v>
      </c>
      <c r="E28" s="59">
        <v>0.0</v>
      </c>
      <c r="F28" s="59">
        <v>7.0</v>
      </c>
      <c r="G28" s="59">
        <v>2.0</v>
      </c>
      <c r="H28" s="59">
        <v>5.0</v>
      </c>
      <c r="I28" s="59">
        <v>2.0</v>
      </c>
      <c r="J28" s="59">
        <v>4.0</v>
      </c>
      <c r="K28" s="59">
        <v>3.0</v>
      </c>
      <c r="L28" s="59">
        <v>1.0</v>
      </c>
      <c r="M28" s="59">
        <v>1.0</v>
      </c>
      <c r="N28" s="59">
        <v>1.0</v>
      </c>
      <c r="O28" s="59">
        <v>2.0</v>
      </c>
      <c r="P28" s="59">
        <v>1.0</v>
      </c>
      <c r="Q28" s="59">
        <v>0.0</v>
      </c>
      <c r="R28" s="59">
        <v>1.0</v>
      </c>
      <c r="S28" s="59">
        <v>2.0</v>
      </c>
      <c r="T28" s="59">
        <v>5.0</v>
      </c>
      <c r="U28" s="59">
        <v>3.0</v>
      </c>
      <c r="V28" s="59">
        <v>1.0</v>
      </c>
      <c r="W28" s="59">
        <v>1.0</v>
      </c>
      <c r="X28" s="59">
        <v>1.0</v>
      </c>
      <c r="Y28" s="59">
        <v>3.0</v>
      </c>
      <c r="Z28" s="59">
        <v>1.0</v>
      </c>
      <c r="AA28" s="59">
        <v>1.0</v>
      </c>
      <c r="AB28" s="59">
        <v>7.0</v>
      </c>
      <c r="AC28" s="59">
        <v>3.0</v>
      </c>
      <c r="AD28" s="59">
        <v>2.0</v>
      </c>
      <c r="AE28" s="59">
        <v>3.0</v>
      </c>
      <c r="AF28" s="59">
        <v>7.0</v>
      </c>
      <c r="AG28" s="59">
        <v>0.0</v>
      </c>
      <c r="AH28" s="59">
        <v>2.0</v>
      </c>
      <c r="AI28" s="59">
        <v>2.0</v>
      </c>
      <c r="AJ28" s="59">
        <v>0.0</v>
      </c>
      <c r="AK28" s="59">
        <v>1.0</v>
      </c>
      <c r="AL28" s="59">
        <v>5.0</v>
      </c>
      <c r="AM28" s="59">
        <v>1.0</v>
      </c>
      <c r="AN28" s="59">
        <v>5.0</v>
      </c>
      <c r="AO28" s="59">
        <v>0.0</v>
      </c>
      <c r="AP28" s="59">
        <v>3.0</v>
      </c>
      <c r="AQ28" s="59">
        <v>4.0</v>
      </c>
    </row>
    <row r="29">
      <c r="A29" s="27" t="s">
        <v>89</v>
      </c>
      <c r="B29" s="59">
        <v>2.0</v>
      </c>
      <c r="C29" s="59">
        <v>1.0</v>
      </c>
      <c r="D29" s="59">
        <v>2.0</v>
      </c>
      <c r="E29" s="59">
        <v>0.0</v>
      </c>
      <c r="F29" s="59">
        <v>4.0</v>
      </c>
      <c r="G29" s="59">
        <v>1.0</v>
      </c>
      <c r="H29" s="59">
        <v>3.0</v>
      </c>
      <c r="I29" s="59">
        <v>2.0</v>
      </c>
      <c r="J29" s="59">
        <v>2.0</v>
      </c>
      <c r="K29" s="59">
        <v>1.0</v>
      </c>
      <c r="L29" s="59">
        <v>1.0</v>
      </c>
      <c r="M29" s="59">
        <v>1.0</v>
      </c>
      <c r="N29" s="59">
        <v>1.0</v>
      </c>
      <c r="O29" s="59">
        <v>0.0</v>
      </c>
      <c r="P29" s="59">
        <v>1.0</v>
      </c>
      <c r="Q29" s="59">
        <v>1.0</v>
      </c>
      <c r="R29" s="59">
        <v>2.0</v>
      </c>
      <c r="S29" s="59">
        <v>1.0</v>
      </c>
      <c r="T29" s="59">
        <v>2.0</v>
      </c>
      <c r="U29" s="59">
        <v>1.0</v>
      </c>
      <c r="V29" s="59">
        <v>1.0</v>
      </c>
      <c r="W29" s="59">
        <v>1.0</v>
      </c>
      <c r="X29" s="59">
        <v>1.0</v>
      </c>
      <c r="Y29" s="59">
        <v>1.0</v>
      </c>
      <c r="Z29" s="59">
        <v>1.0</v>
      </c>
      <c r="AA29" s="59">
        <v>1.0</v>
      </c>
      <c r="AB29" s="59">
        <v>3.0</v>
      </c>
      <c r="AC29" s="59">
        <v>4.0</v>
      </c>
      <c r="AD29" s="59">
        <v>2.0</v>
      </c>
      <c r="AE29" s="59">
        <v>2.0</v>
      </c>
      <c r="AF29" s="59">
        <v>4.0</v>
      </c>
      <c r="AG29" s="59">
        <v>1.0</v>
      </c>
      <c r="AH29" s="59">
        <v>0.0</v>
      </c>
      <c r="AI29" s="59">
        <v>0.0</v>
      </c>
      <c r="AJ29" s="59">
        <v>0.0</v>
      </c>
      <c r="AK29" s="59">
        <v>1.0</v>
      </c>
      <c r="AL29" s="59">
        <v>3.0</v>
      </c>
      <c r="AM29" s="59">
        <v>1.0</v>
      </c>
      <c r="AN29" s="59">
        <v>3.0</v>
      </c>
      <c r="AO29" s="59">
        <v>0.0</v>
      </c>
      <c r="AP29" s="59">
        <v>3.0</v>
      </c>
      <c r="AQ29" s="59">
        <v>2.0</v>
      </c>
    </row>
    <row r="30">
      <c r="A30" s="27" t="s">
        <v>90</v>
      </c>
      <c r="B30" s="59">
        <v>1.0</v>
      </c>
      <c r="C30" s="59">
        <v>1.0</v>
      </c>
      <c r="D30" s="59">
        <v>2.0</v>
      </c>
      <c r="E30" s="59">
        <v>1.0</v>
      </c>
      <c r="F30" s="59">
        <v>4.0</v>
      </c>
      <c r="G30" s="59">
        <v>2.0</v>
      </c>
      <c r="H30" s="59">
        <v>3.0</v>
      </c>
      <c r="I30" s="59">
        <v>2.0</v>
      </c>
      <c r="J30" s="59">
        <v>4.0</v>
      </c>
      <c r="K30" s="59">
        <v>2.0</v>
      </c>
      <c r="L30" s="59">
        <v>1.0</v>
      </c>
      <c r="M30" s="59">
        <v>0.0</v>
      </c>
      <c r="N30" s="59">
        <v>1.0</v>
      </c>
      <c r="O30" s="59">
        <v>1.0</v>
      </c>
      <c r="P30" s="59">
        <v>2.0</v>
      </c>
      <c r="Q30" s="59">
        <v>1.0</v>
      </c>
      <c r="R30" s="59">
        <v>2.0</v>
      </c>
      <c r="S30" s="59">
        <v>1.0</v>
      </c>
      <c r="T30" s="59">
        <v>1.0</v>
      </c>
      <c r="U30" s="59">
        <v>2.0</v>
      </c>
      <c r="V30" s="59">
        <v>0.0</v>
      </c>
      <c r="W30" s="59">
        <v>0.0</v>
      </c>
      <c r="X30" s="59">
        <v>0.0</v>
      </c>
      <c r="Y30" s="59">
        <v>2.0</v>
      </c>
      <c r="Z30" s="59">
        <v>0.0</v>
      </c>
      <c r="AA30" s="59">
        <v>0.0</v>
      </c>
      <c r="AB30" s="59">
        <v>2.0</v>
      </c>
      <c r="AC30" s="59">
        <v>2.0</v>
      </c>
      <c r="AD30" s="59">
        <v>4.0</v>
      </c>
      <c r="AE30" s="59">
        <v>1.0</v>
      </c>
      <c r="AF30" s="59">
        <v>4.0</v>
      </c>
      <c r="AG30" s="59">
        <v>2.0</v>
      </c>
      <c r="AH30" s="59">
        <v>2.0</v>
      </c>
      <c r="AI30" s="59">
        <v>2.0</v>
      </c>
      <c r="AJ30" s="59">
        <v>1.0</v>
      </c>
      <c r="AK30" s="59">
        <v>0.0</v>
      </c>
      <c r="AL30" s="59">
        <v>1.0</v>
      </c>
      <c r="AM30" s="59">
        <v>0.0</v>
      </c>
      <c r="AN30" s="59">
        <v>4.0</v>
      </c>
      <c r="AO30" s="59">
        <v>1.0</v>
      </c>
      <c r="AP30" s="59">
        <v>1.0</v>
      </c>
      <c r="AQ30" s="59">
        <v>4.0</v>
      </c>
    </row>
    <row r="31">
      <c r="A31" s="27" t="s">
        <v>91</v>
      </c>
      <c r="B31" s="59">
        <v>3.0</v>
      </c>
      <c r="C31" s="59">
        <v>1.0</v>
      </c>
      <c r="D31" s="59">
        <v>1.0</v>
      </c>
      <c r="E31" s="59">
        <v>0.0</v>
      </c>
      <c r="F31" s="59">
        <v>3.0</v>
      </c>
      <c r="G31" s="59">
        <v>1.0</v>
      </c>
      <c r="H31" s="59">
        <v>2.0</v>
      </c>
      <c r="I31" s="59">
        <v>2.0</v>
      </c>
      <c r="J31" s="59">
        <v>2.0</v>
      </c>
      <c r="K31" s="59">
        <v>2.0</v>
      </c>
      <c r="L31" s="59">
        <v>1.0</v>
      </c>
      <c r="M31" s="59">
        <v>1.0</v>
      </c>
      <c r="N31" s="59">
        <v>1.0</v>
      </c>
      <c r="O31" s="59">
        <v>1.0</v>
      </c>
      <c r="P31" s="59">
        <v>0.0</v>
      </c>
      <c r="Q31" s="59">
        <v>0.0</v>
      </c>
      <c r="R31" s="59">
        <v>1.0</v>
      </c>
      <c r="S31" s="59">
        <v>1.0</v>
      </c>
      <c r="T31" s="59">
        <v>2.0</v>
      </c>
      <c r="U31" s="59">
        <v>1.0</v>
      </c>
      <c r="V31" s="59">
        <v>0.0</v>
      </c>
      <c r="W31" s="59">
        <v>1.0</v>
      </c>
      <c r="X31" s="59">
        <v>1.0</v>
      </c>
      <c r="Y31" s="59">
        <v>2.0</v>
      </c>
      <c r="Z31" s="59">
        <v>1.0</v>
      </c>
      <c r="AA31" s="59">
        <v>1.0</v>
      </c>
      <c r="AB31" s="59">
        <v>3.0</v>
      </c>
      <c r="AC31" s="59">
        <v>2.0</v>
      </c>
      <c r="AD31" s="59">
        <v>1.0</v>
      </c>
      <c r="AE31" s="59">
        <v>3.0</v>
      </c>
      <c r="AF31" s="59">
        <v>3.0</v>
      </c>
      <c r="AG31" s="59">
        <v>0.0</v>
      </c>
      <c r="AH31" s="59">
        <v>1.0</v>
      </c>
      <c r="AI31" s="59">
        <v>1.0</v>
      </c>
      <c r="AJ31" s="59">
        <v>0.0</v>
      </c>
      <c r="AK31" s="59">
        <v>1.0</v>
      </c>
      <c r="AL31" s="59">
        <v>3.0</v>
      </c>
      <c r="AM31" s="59">
        <v>1.0</v>
      </c>
      <c r="AN31" s="59">
        <v>3.0</v>
      </c>
      <c r="AO31" s="59">
        <v>0.0</v>
      </c>
      <c r="AP31" s="59">
        <v>2.0</v>
      </c>
      <c r="AQ31" s="59">
        <v>2.0</v>
      </c>
    </row>
    <row r="32">
      <c r="A32" s="27" t="s">
        <v>92</v>
      </c>
      <c r="B32" s="59">
        <v>3.0</v>
      </c>
      <c r="C32" s="59">
        <v>3.0</v>
      </c>
      <c r="D32" s="59">
        <v>2.0</v>
      </c>
      <c r="E32" s="59">
        <v>1.0</v>
      </c>
      <c r="F32" s="59">
        <v>9.0</v>
      </c>
      <c r="G32" s="59">
        <v>2.0</v>
      </c>
      <c r="H32" s="59">
        <v>6.0</v>
      </c>
      <c r="I32" s="59">
        <v>3.0</v>
      </c>
      <c r="J32" s="59">
        <v>6.0</v>
      </c>
      <c r="K32" s="59">
        <v>3.0</v>
      </c>
      <c r="L32" s="59">
        <v>1.0</v>
      </c>
      <c r="M32" s="59">
        <v>1.0</v>
      </c>
      <c r="N32" s="59">
        <v>1.0</v>
      </c>
      <c r="O32" s="59">
        <v>2.0</v>
      </c>
      <c r="P32" s="59">
        <v>3.0</v>
      </c>
      <c r="Q32" s="59">
        <v>1.0</v>
      </c>
      <c r="R32" s="59">
        <v>2.0</v>
      </c>
      <c r="S32" s="59">
        <v>3.0</v>
      </c>
      <c r="T32" s="59">
        <v>6.0</v>
      </c>
      <c r="U32" s="59">
        <v>4.0</v>
      </c>
      <c r="V32" s="59">
        <v>1.0</v>
      </c>
      <c r="W32" s="59">
        <v>1.0</v>
      </c>
      <c r="X32" s="59">
        <v>1.0</v>
      </c>
      <c r="Y32" s="59">
        <v>3.0</v>
      </c>
      <c r="Z32" s="59">
        <v>1.0</v>
      </c>
      <c r="AA32" s="59">
        <v>1.0</v>
      </c>
      <c r="AB32" s="59">
        <v>7.0</v>
      </c>
      <c r="AC32" s="59">
        <v>4.0</v>
      </c>
      <c r="AD32" s="59">
        <v>4.0</v>
      </c>
      <c r="AE32" s="59">
        <v>3.0</v>
      </c>
      <c r="AF32" s="59">
        <v>9.0</v>
      </c>
      <c r="AG32" s="59">
        <v>2.0</v>
      </c>
      <c r="AH32" s="59">
        <v>3.0</v>
      </c>
      <c r="AI32" s="59">
        <v>3.0</v>
      </c>
      <c r="AJ32" s="59">
        <v>1.0</v>
      </c>
      <c r="AK32" s="59">
        <v>1.0</v>
      </c>
      <c r="AL32" s="59">
        <v>5.0</v>
      </c>
      <c r="AM32" s="59">
        <v>1.0</v>
      </c>
      <c r="AN32" s="59">
        <v>7.0</v>
      </c>
      <c r="AO32" s="59">
        <v>1.0</v>
      </c>
      <c r="AP32" s="59">
        <v>3.0</v>
      </c>
      <c r="AQ32" s="59">
        <v>6.0</v>
      </c>
    </row>
    <row r="33">
      <c r="A33" s="27" t="s">
        <v>93</v>
      </c>
      <c r="B33" s="59">
        <v>0.0</v>
      </c>
      <c r="C33" s="59">
        <v>0.0</v>
      </c>
      <c r="D33" s="59">
        <v>1.0</v>
      </c>
      <c r="E33" s="59">
        <v>1.0</v>
      </c>
      <c r="F33" s="59">
        <v>2.0</v>
      </c>
      <c r="G33" s="59">
        <v>0.0</v>
      </c>
      <c r="H33" s="59">
        <v>1.0</v>
      </c>
      <c r="I33" s="59">
        <v>1.0</v>
      </c>
      <c r="J33" s="59">
        <v>2.0</v>
      </c>
      <c r="K33" s="59">
        <v>0.0</v>
      </c>
      <c r="L33" s="59">
        <v>0.0</v>
      </c>
      <c r="M33" s="59">
        <v>0.0</v>
      </c>
      <c r="N33" s="59">
        <v>0.0</v>
      </c>
      <c r="O33" s="59">
        <v>0.0</v>
      </c>
      <c r="P33" s="59">
        <v>2.0</v>
      </c>
      <c r="Q33" s="59">
        <v>1.0</v>
      </c>
      <c r="R33" s="59">
        <v>1.0</v>
      </c>
      <c r="S33" s="59">
        <v>1.0</v>
      </c>
      <c r="T33" s="59">
        <v>1.0</v>
      </c>
      <c r="U33" s="59">
        <v>1.0</v>
      </c>
      <c r="V33" s="59">
        <v>0.0</v>
      </c>
      <c r="W33" s="59">
        <v>0.0</v>
      </c>
      <c r="X33" s="59">
        <v>0.0</v>
      </c>
      <c r="Y33" s="59">
        <v>0.0</v>
      </c>
      <c r="Z33" s="59">
        <v>0.0</v>
      </c>
      <c r="AA33" s="59">
        <v>0.0</v>
      </c>
      <c r="AB33" s="59">
        <v>0.0</v>
      </c>
      <c r="AC33" s="59">
        <v>1.0</v>
      </c>
      <c r="AD33" s="59">
        <v>2.0</v>
      </c>
      <c r="AE33" s="59">
        <v>0.0</v>
      </c>
      <c r="AF33" s="59">
        <v>2.0</v>
      </c>
      <c r="AG33" s="59">
        <v>2.0</v>
      </c>
      <c r="AH33" s="59">
        <v>1.0</v>
      </c>
      <c r="AI33" s="59">
        <v>1.0</v>
      </c>
      <c r="AJ33" s="59">
        <v>1.0</v>
      </c>
      <c r="AK33" s="59">
        <v>0.0</v>
      </c>
      <c r="AL33" s="59">
        <v>0.0</v>
      </c>
      <c r="AM33" s="59">
        <v>0.0</v>
      </c>
      <c r="AN33" s="59">
        <v>2.0</v>
      </c>
      <c r="AO33" s="59">
        <v>1.0</v>
      </c>
      <c r="AP33" s="59">
        <v>0.0</v>
      </c>
      <c r="AQ33" s="59">
        <v>2.0</v>
      </c>
    </row>
    <row r="34">
      <c r="A34" s="27" t="s">
        <v>94</v>
      </c>
      <c r="B34" s="59">
        <v>1.0</v>
      </c>
      <c r="C34" s="59">
        <v>1.0</v>
      </c>
      <c r="D34" s="59">
        <v>0.0</v>
      </c>
      <c r="E34" s="59">
        <v>1.0</v>
      </c>
      <c r="F34" s="59">
        <v>3.0</v>
      </c>
      <c r="G34" s="59">
        <v>1.0</v>
      </c>
      <c r="H34" s="59">
        <v>2.0</v>
      </c>
      <c r="I34" s="59">
        <v>1.0</v>
      </c>
      <c r="J34" s="59">
        <v>3.0</v>
      </c>
      <c r="K34" s="59">
        <v>2.0</v>
      </c>
      <c r="L34" s="59">
        <v>0.0</v>
      </c>
      <c r="M34" s="59">
        <v>0.0</v>
      </c>
      <c r="N34" s="59">
        <v>0.0</v>
      </c>
      <c r="O34" s="59">
        <v>2.0</v>
      </c>
      <c r="P34" s="59">
        <v>1.0</v>
      </c>
      <c r="Q34" s="59">
        <v>0.0</v>
      </c>
      <c r="R34" s="59">
        <v>0.0</v>
      </c>
      <c r="S34" s="59">
        <v>1.0</v>
      </c>
      <c r="T34" s="59">
        <v>2.0</v>
      </c>
      <c r="U34" s="59">
        <v>2.0</v>
      </c>
      <c r="V34" s="59">
        <v>0.0</v>
      </c>
      <c r="W34" s="59">
        <v>0.0</v>
      </c>
      <c r="X34" s="59">
        <v>0.0</v>
      </c>
      <c r="Y34" s="59">
        <v>2.0</v>
      </c>
      <c r="Z34" s="59">
        <v>0.0</v>
      </c>
      <c r="AA34" s="59">
        <v>0.0</v>
      </c>
      <c r="AB34" s="59">
        <v>2.0</v>
      </c>
      <c r="AC34" s="59">
        <v>0.0</v>
      </c>
      <c r="AD34" s="59">
        <v>2.0</v>
      </c>
      <c r="AE34" s="59">
        <v>1.0</v>
      </c>
      <c r="AF34" s="59">
        <v>3.0</v>
      </c>
      <c r="AG34" s="59">
        <v>1.0</v>
      </c>
      <c r="AH34" s="59">
        <v>3.0</v>
      </c>
      <c r="AI34" s="59">
        <v>3.0</v>
      </c>
      <c r="AJ34" s="59">
        <v>1.0</v>
      </c>
      <c r="AK34" s="59">
        <v>0.0</v>
      </c>
      <c r="AL34" s="59">
        <v>1.0</v>
      </c>
      <c r="AM34" s="59">
        <v>0.0</v>
      </c>
      <c r="AN34" s="59">
        <v>3.0</v>
      </c>
      <c r="AO34" s="59">
        <v>1.0</v>
      </c>
      <c r="AP34" s="59">
        <v>0.0</v>
      </c>
      <c r="AQ34" s="59">
        <v>3.0</v>
      </c>
    </row>
    <row r="35">
      <c r="A35" s="27" t="s">
        <v>95</v>
      </c>
      <c r="B35" s="59">
        <v>1.0</v>
      </c>
      <c r="C35" s="59">
        <v>1.0</v>
      </c>
      <c r="D35" s="59">
        <v>0.0</v>
      </c>
      <c r="E35" s="59">
        <v>1.0</v>
      </c>
      <c r="F35" s="59">
        <v>3.0</v>
      </c>
      <c r="G35" s="59">
        <v>1.0</v>
      </c>
      <c r="H35" s="59">
        <v>2.0</v>
      </c>
      <c r="I35" s="59">
        <v>1.0</v>
      </c>
      <c r="J35" s="59">
        <v>3.0</v>
      </c>
      <c r="K35" s="59">
        <v>2.0</v>
      </c>
      <c r="L35" s="59">
        <v>0.0</v>
      </c>
      <c r="M35" s="59">
        <v>0.0</v>
      </c>
      <c r="N35" s="59">
        <v>0.0</v>
      </c>
      <c r="O35" s="59">
        <v>2.0</v>
      </c>
      <c r="P35" s="59">
        <v>1.0</v>
      </c>
      <c r="Q35" s="59">
        <v>0.0</v>
      </c>
      <c r="R35" s="59">
        <v>0.0</v>
      </c>
      <c r="S35" s="59">
        <v>1.0</v>
      </c>
      <c r="T35" s="59">
        <v>2.0</v>
      </c>
      <c r="U35" s="59">
        <v>2.0</v>
      </c>
      <c r="V35" s="59">
        <v>0.0</v>
      </c>
      <c r="W35" s="59">
        <v>0.0</v>
      </c>
      <c r="X35" s="59">
        <v>0.0</v>
      </c>
      <c r="Y35" s="59">
        <v>2.0</v>
      </c>
      <c r="Z35" s="59">
        <v>0.0</v>
      </c>
      <c r="AA35" s="59">
        <v>0.0</v>
      </c>
      <c r="AB35" s="59">
        <v>2.0</v>
      </c>
      <c r="AC35" s="59">
        <v>0.0</v>
      </c>
      <c r="AD35" s="59">
        <v>2.0</v>
      </c>
      <c r="AE35" s="59">
        <v>1.0</v>
      </c>
      <c r="AF35" s="59">
        <v>3.0</v>
      </c>
      <c r="AG35" s="59">
        <v>1.0</v>
      </c>
      <c r="AH35" s="59">
        <v>3.0</v>
      </c>
      <c r="AI35" s="59">
        <v>3.0</v>
      </c>
      <c r="AJ35" s="59">
        <v>1.0</v>
      </c>
      <c r="AK35" s="59">
        <v>0.0</v>
      </c>
      <c r="AL35" s="59">
        <v>1.0</v>
      </c>
      <c r="AM35" s="59">
        <v>0.0</v>
      </c>
      <c r="AN35" s="59">
        <v>3.0</v>
      </c>
      <c r="AO35" s="59">
        <v>1.0</v>
      </c>
      <c r="AP35" s="59">
        <v>0.0</v>
      </c>
      <c r="AQ35" s="59">
        <v>3.0</v>
      </c>
    </row>
    <row r="36">
      <c r="A36" s="27" t="s">
        <v>96</v>
      </c>
      <c r="B36" s="59">
        <v>0.0</v>
      </c>
      <c r="C36" s="59">
        <v>0.0</v>
      </c>
      <c r="D36" s="59">
        <v>0.0</v>
      </c>
      <c r="E36" s="59">
        <v>1.0</v>
      </c>
      <c r="F36" s="59">
        <v>1.0</v>
      </c>
      <c r="G36" s="59">
        <v>0.0</v>
      </c>
      <c r="H36" s="59">
        <v>1.0</v>
      </c>
      <c r="I36" s="59">
        <v>1.0</v>
      </c>
      <c r="J36" s="59">
        <v>1.0</v>
      </c>
      <c r="K36" s="59">
        <v>0.0</v>
      </c>
      <c r="L36" s="59">
        <v>0.0</v>
      </c>
      <c r="M36" s="59">
        <v>0.0</v>
      </c>
      <c r="N36" s="59">
        <v>0.0</v>
      </c>
      <c r="O36" s="59">
        <v>0.0</v>
      </c>
      <c r="P36" s="59">
        <v>1.0</v>
      </c>
      <c r="Q36" s="59">
        <v>0.0</v>
      </c>
      <c r="R36" s="59">
        <v>0.0</v>
      </c>
      <c r="S36" s="59">
        <v>1.0</v>
      </c>
      <c r="T36" s="59">
        <v>1.0</v>
      </c>
      <c r="U36" s="59">
        <v>1.0</v>
      </c>
      <c r="V36" s="59">
        <v>0.0</v>
      </c>
      <c r="W36" s="59">
        <v>0.0</v>
      </c>
      <c r="X36" s="59">
        <v>0.0</v>
      </c>
      <c r="Y36" s="59">
        <v>0.0</v>
      </c>
      <c r="Z36" s="59">
        <v>0.0</v>
      </c>
      <c r="AA36" s="59">
        <v>0.0</v>
      </c>
      <c r="AB36" s="59">
        <v>0.0</v>
      </c>
      <c r="AC36" s="59">
        <v>0.0</v>
      </c>
      <c r="AD36" s="59">
        <v>1.0</v>
      </c>
      <c r="AE36" s="59">
        <v>0.0</v>
      </c>
      <c r="AF36" s="59">
        <v>1.0</v>
      </c>
      <c r="AG36" s="59">
        <v>1.0</v>
      </c>
      <c r="AH36" s="59">
        <v>1.0</v>
      </c>
      <c r="AI36" s="59">
        <v>1.0</v>
      </c>
      <c r="AJ36" s="59">
        <v>1.0</v>
      </c>
      <c r="AK36" s="59">
        <v>0.0</v>
      </c>
      <c r="AL36" s="59">
        <v>0.0</v>
      </c>
      <c r="AM36" s="59">
        <v>0.0</v>
      </c>
      <c r="AN36" s="59">
        <v>1.0</v>
      </c>
      <c r="AO36" s="59">
        <v>1.0</v>
      </c>
      <c r="AP36" s="59">
        <v>0.0</v>
      </c>
      <c r="AQ36" s="59">
        <v>1.0</v>
      </c>
    </row>
    <row r="37">
      <c r="A37" s="27" t="s">
        <v>97</v>
      </c>
      <c r="B37" s="59">
        <v>1.0</v>
      </c>
      <c r="C37" s="59">
        <v>1.0</v>
      </c>
      <c r="D37" s="59">
        <v>0.0</v>
      </c>
      <c r="E37" s="59">
        <v>0.0</v>
      </c>
      <c r="F37" s="59">
        <v>1.0</v>
      </c>
      <c r="G37" s="59">
        <v>0.0</v>
      </c>
      <c r="H37" s="59">
        <v>1.0</v>
      </c>
      <c r="I37" s="59">
        <v>1.0</v>
      </c>
      <c r="J37" s="59">
        <v>0.0</v>
      </c>
      <c r="K37" s="59">
        <v>0.0</v>
      </c>
      <c r="L37" s="59">
        <v>0.0</v>
      </c>
      <c r="M37" s="59">
        <v>1.0</v>
      </c>
      <c r="N37" s="59">
        <v>0.0</v>
      </c>
      <c r="O37" s="59">
        <v>0.0</v>
      </c>
      <c r="P37" s="59">
        <v>0.0</v>
      </c>
      <c r="Q37" s="59">
        <v>0.0</v>
      </c>
      <c r="R37" s="59">
        <v>0.0</v>
      </c>
      <c r="S37" s="59">
        <v>1.0</v>
      </c>
      <c r="T37" s="59">
        <v>1.0</v>
      </c>
      <c r="U37" s="59">
        <v>1.0</v>
      </c>
      <c r="V37" s="59">
        <v>0.0</v>
      </c>
      <c r="W37" s="59">
        <v>1.0</v>
      </c>
      <c r="X37" s="59">
        <v>1.0</v>
      </c>
      <c r="Y37" s="59">
        <v>0.0</v>
      </c>
      <c r="Z37" s="59">
        <v>1.0</v>
      </c>
      <c r="AA37" s="59">
        <v>1.0</v>
      </c>
      <c r="AB37" s="59">
        <v>1.0</v>
      </c>
      <c r="AC37" s="59">
        <v>1.0</v>
      </c>
      <c r="AD37" s="59">
        <v>0.0</v>
      </c>
      <c r="AE37" s="59">
        <v>1.0</v>
      </c>
      <c r="AF37" s="59">
        <v>1.0</v>
      </c>
      <c r="AG37" s="59">
        <v>0.0</v>
      </c>
      <c r="AH37" s="59">
        <v>0.0</v>
      </c>
      <c r="AI37" s="59">
        <v>0.0</v>
      </c>
      <c r="AJ37" s="59">
        <v>0.0</v>
      </c>
      <c r="AK37" s="59">
        <v>1.0</v>
      </c>
      <c r="AL37" s="59">
        <v>1.0</v>
      </c>
      <c r="AM37" s="59">
        <v>1.0</v>
      </c>
      <c r="AN37" s="59">
        <v>1.0</v>
      </c>
      <c r="AO37" s="59">
        <v>0.0</v>
      </c>
      <c r="AP37" s="59">
        <v>1.0</v>
      </c>
      <c r="AQ37" s="59">
        <v>0.0</v>
      </c>
    </row>
    <row r="38">
      <c r="A38" s="27" t="s">
        <v>98</v>
      </c>
      <c r="B38" s="59">
        <v>3.0</v>
      </c>
      <c r="C38" s="59">
        <v>2.0</v>
      </c>
      <c r="D38" s="59">
        <v>1.0</v>
      </c>
      <c r="E38" s="59">
        <v>0.0</v>
      </c>
      <c r="F38" s="59">
        <v>5.0</v>
      </c>
      <c r="G38" s="59">
        <v>1.0</v>
      </c>
      <c r="H38" s="59">
        <v>3.0</v>
      </c>
      <c r="I38" s="59">
        <v>2.0</v>
      </c>
      <c r="J38" s="59">
        <v>2.0</v>
      </c>
      <c r="K38" s="59">
        <v>2.0</v>
      </c>
      <c r="L38" s="59">
        <v>1.0</v>
      </c>
      <c r="M38" s="59">
        <v>1.0</v>
      </c>
      <c r="N38" s="59">
        <v>1.0</v>
      </c>
      <c r="O38" s="59">
        <v>1.0</v>
      </c>
      <c r="P38" s="59">
        <v>1.0</v>
      </c>
      <c r="Q38" s="59">
        <v>0.0</v>
      </c>
      <c r="R38" s="59">
        <v>1.0</v>
      </c>
      <c r="S38" s="59">
        <v>1.0</v>
      </c>
      <c r="T38" s="59">
        <v>4.0</v>
      </c>
      <c r="U38" s="59">
        <v>1.0</v>
      </c>
      <c r="V38" s="59">
        <v>1.0</v>
      </c>
      <c r="W38" s="59">
        <v>1.0</v>
      </c>
      <c r="X38" s="59">
        <v>1.0</v>
      </c>
      <c r="Y38" s="59">
        <v>2.0</v>
      </c>
      <c r="Z38" s="59">
        <v>1.0</v>
      </c>
      <c r="AA38" s="59">
        <v>1.0</v>
      </c>
      <c r="AB38" s="59">
        <v>5.0</v>
      </c>
      <c r="AC38" s="59">
        <v>3.0</v>
      </c>
      <c r="AD38" s="59">
        <v>1.0</v>
      </c>
      <c r="AE38" s="59">
        <v>3.0</v>
      </c>
      <c r="AF38" s="59">
        <v>5.0</v>
      </c>
      <c r="AG38" s="59">
        <v>0.0</v>
      </c>
      <c r="AH38" s="59">
        <v>1.0</v>
      </c>
      <c r="AI38" s="59">
        <v>1.0</v>
      </c>
      <c r="AJ38" s="59">
        <v>0.0</v>
      </c>
      <c r="AK38" s="59">
        <v>1.0</v>
      </c>
      <c r="AL38" s="59">
        <v>5.0</v>
      </c>
      <c r="AM38" s="59">
        <v>1.0</v>
      </c>
      <c r="AN38" s="59">
        <v>3.0</v>
      </c>
      <c r="AO38" s="59">
        <v>0.0</v>
      </c>
      <c r="AP38" s="59">
        <v>3.0</v>
      </c>
      <c r="AQ38" s="59">
        <v>3.0</v>
      </c>
    </row>
    <row r="39">
      <c r="A39" s="27" t="s">
        <v>99</v>
      </c>
      <c r="B39" s="59">
        <v>1.0</v>
      </c>
      <c r="C39" s="59">
        <v>1.0</v>
      </c>
      <c r="D39" s="59">
        <v>0.0</v>
      </c>
      <c r="E39" s="59">
        <v>0.0</v>
      </c>
      <c r="F39" s="59">
        <v>1.0</v>
      </c>
      <c r="G39" s="59">
        <v>0.0</v>
      </c>
      <c r="H39" s="59">
        <v>1.0</v>
      </c>
      <c r="I39" s="59">
        <v>1.0</v>
      </c>
      <c r="J39" s="59">
        <v>0.0</v>
      </c>
      <c r="K39" s="59">
        <v>0.0</v>
      </c>
      <c r="L39" s="59">
        <v>0.0</v>
      </c>
      <c r="M39" s="59">
        <v>1.0</v>
      </c>
      <c r="N39" s="59">
        <v>0.0</v>
      </c>
      <c r="O39" s="59">
        <v>0.0</v>
      </c>
      <c r="P39" s="59">
        <v>0.0</v>
      </c>
      <c r="Q39" s="59">
        <v>0.0</v>
      </c>
      <c r="R39" s="59">
        <v>0.0</v>
      </c>
      <c r="S39" s="59">
        <v>1.0</v>
      </c>
      <c r="T39" s="59">
        <v>1.0</v>
      </c>
      <c r="U39" s="59">
        <v>1.0</v>
      </c>
      <c r="V39" s="59">
        <v>0.0</v>
      </c>
      <c r="W39" s="59">
        <v>1.0</v>
      </c>
      <c r="X39" s="59">
        <v>1.0</v>
      </c>
      <c r="Y39" s="59">
        <v>0.0</v>
      </c>
      <c r="Z39" s="59">
        <v>1.0</v>
      </c>
      <c r="AA39" s="59">
        <v>1.0</v>
      </c>
      <c r="AB39" s="59">
        <v>1.0</v>
      </c>
      <c r="AC39" s="59">
        <v>1.0</v>
      </c>
      <c r="AD39" s="59">
        <v>0.0</v>
      </c>
      <c r="AE39" s="59">
        <v>1.0</v>
      </c>
      <c r="AF39" s="59">
        <v>1.0</v>
      </c>
      <c r="AG39" s="59">
        <v>0.0</v>
      </c>
      <c r="AH39" s="59">
        <v>0.0</v>
      </c>
      <c r="AI39" s="59">
        <v>0.0</v>
      </c>
      <c r="AJ39" s="59">
        <v>0.0</v>
      </c>
      <c r="AK39" s="59">
        <v>1.0</v>
      </c>
      <c r="AL39" s="59">
        <v>1.0</v>
      </c>
      <c r="AM39" s="59">
        <v>1.0</v>
      </c>
      <c r="AN39" s="59">
        <v>1.0</v>
      </c>
      <c r="AO39" s="59">
        <v>0.0</v>
      </c>
      <c r="AP39" s="59">
        <v>1.0</v>
      </c>
      <c r="AQ39" s="59">
        <v>0.0</v>
      </c>
    </row>
    <row r="40">
      <c r="A40" s="27" t="s">
        <v>100</v>
      </c>
      <c r="B40" s="59">
        <v>3.0</v>
      </c>
      <c r="C40" s="59">
        <v>2.0</v>
      </c>
      <c r="D40" s="59">
        <v>2.0</v>
      </c>
      <c r="E40" s="59">
        <v>1.0</v>
      </c>
      <c r="F40" s="59">
        <v>7.0</v>
      </c>
      <c r="G40" s="59">
        <v>2.0</v>
      </c>
      <c r="H40" s="59">
        <v>5.0</v>
      </c>
      <c r="I40" s="59">
        <v>3.0</v>
      </c>
      <c r="J40" s="59">
        <v>6.0</v>
      </c>
      <c r="K40" s="59">
        <v>3.0</v>
      </c>
      <c r="L40" s="59">
        <v>1.0</v>
      </c>
      <c r="M40" s="59">
        <v>1.0</v>
      </c>
      <c r="N40" s="59">
        <v>1.0</v>
      </c>
      <c r="O40" s="59">
        <v>2.0</v>
      </c>
      <c r="P40" s="59">
        <v>2.0</v>
      </c>
      <c r="Q40" s="59">
        <v>1.0</v>
      </c>
      <c r="R40" s="59">
        <v>2.0</v>
      </c>
      <c r="S40" s="59">
        <v>3.0</v>
      </c>
      <c r="T40" s="59">
        <v>4.0</v>
      </c>
      <c r="U40" s="59">
        <v>4.0</v>
      </c>
      <c r="V40" s="59">
        <v>0.0</v>
      </c>
      <c r="W40" s="59">
        <v>1.0</v>
      </c>
      <c r="X40" s="59">
        <v>1.0</v>
      </c>
      <c r="Y40" s="59">
        <v>3.0</v>
      </c>
      <c r="Z40" s="59">
        <v>1.0</v>
      </c>
      <c r="AA40" s="59">
        <v>1.0</v>
      </c>
      <c r="AB40" s="59">
        <v>5.0</v>
      </c>
      <c r="AC40" s="59">
        <v>3.0</v>
      </c>
      <c r="AD40" s="59">
        <v>4.0</v>
      </c>
      <c r="AE40" s="59">
        <v>3.0</v>
      </c>
      <c r="AF40" s="59">
        <v>7.0</v>
      </c>
      <c r="AG40" s="59">
        <v>2.0</v>
      </c>
      <c r="AH40" s="59">
        <v>3.0</v>
      </c>
      <c r="AI40" s="59">
        <v>3.0</v>
      </c>
      <c r="AJ40" s="59">
        <v>1.0</v>
      </c>
      <c r="AK40" s="59">
        <v>1.0</v>
      </c>
      <c r="AL40" s="59">
        <v>3.0</v>
      </c>
      <c r="AM40" s="59">
        <v>1.0</v>
      </c>
      <c r="AN40" s="59">
        <v>7.0</v>
      </c>
      <c r="AO40" s="59">
        <v>1.0</v>
      </c>
      <c r="AP40" s="59">
        <v>2.0</v>
      </c>
      <c r="AQ40" s="59">
        <v>5.0</v>
      </c>
    </row>
    <row r="41">
      <c r="A41" s="27" t="s">
        <v>101</v>
      </c>
      <c r="B41" s="59">
        <v>0.0</v>
      </c>
      <c r="C41" s="59">
        <v>0.0</v>
      </c>
      <c r="D41" s="59">
        <v>0.0</v>
      </c>
      <c r="E41" s="59">
        <v>1.0</v>
      </c>
      <c r="F41" s="59">
        <v>1.0</v>
      </c>
      <c r="G41" s="59">
        <v>0.0</v>
      </c>
      <c r="H41" s="59">
        <v>1.0</v>
      </c>
      <c r="I41" s="59">
        <v>1.0</v>
      </c>
      <c r="J41" s="59">
        <v>1.0</v>
      </c>
      <c r="K41" s="59">
        <v>0.0</v>
      </c>
      <c r="L41" s="59">
        <v>0.0</v>
      </c>
      <c r="M41" s="59">
        <v>0.0</v>
      </c>
      <c r="N41" s="59">
        <v>0.0</v>
      </c>
      <c r="O41" s="59">
        <v>0.0</v>
      </c>
      <c r="P41" s="59">
        <v>1.0</v>
      </c>
      <c r="Q41" s="59">
        <v>0.0</v>
      </c>
      <c r="R41" s="59">
        <v>0.0</v>
      </c>
      <c r="S41" s="59">
        <v>1.0</v>
      </c>
      <c r="T41" s="59">
        <v>1.0</v>
      </c>
      <c r="U41" s="59">
        <v>1.0</v>
      </c>
      <c r="V41" s="59">
        <v>0.0</v>
      </c>
      <c r="W41" s="59">
        <v>0.0</v>
      </c>
      <c r="X41" s="59">
        <v>0.0</v>
      </c>
      <c r="Y41" s="59">
        <v>0.0</v>
      </c>
      <c r="Z41" s="59">
        <v>0.0</v>
      </c>
      <c r="AA41" s="59">
        <v>0.0</v>
      </c>
      <c r="AB41" s="59">
        <v>0.0</v>
      </c>
      <c r="AC41" s="59">
        <v>0.0</v>
      </c>
      <c r="AD41" s="59">
        <v>1.0</v>
      </c>
      <c r="AE41" s="59">
        <v>0.0</v>
      </c>
      <c r="AF41" s="59">
        <v>1.0</v>
      </c>
      <c r="AG41" s="59">
        <v>1.0</v>
      </c>
      <c r="AH41" s="59">
        <v>1.0</v>
      </c>
      <c r="AI41" s="59">
        <v>1.0</v>
      </c>
      <c r="AJ41" s="59">
        <v>1.0</v>
      </c>
      <c r="AK41" s="59">
        <v>0.0</v>
      </c>
      <c r="AL41" s="59">
        <v>0.0</v>
      </c>
      <c r="AM41" s="59">
        <v>0.0</v>
      </c>
      <c r="AN41" s="59">
        <v>1.0</v>
      </c>
      <c r="AO41" s="59">
        <v>1.0</v>
      </c>
      <c r="AP41" s="59">
        <v>0.0</v>
      </c>
      <c r="AQ41" s="59">
        <v>1.0</v>
      </c>
    </row>
    <row r="42">
      <c r="A42" s="27" t="s">
        <v>102</v>
      </c>
      <c r="B42" s="59">
        <v>2.0</v>
      </c>
      <c r="C42" s="59">
        <v>1.0</v>
      </c>
      <c r="D42" s="59">
        <v>1.0</v>
      </c>
      <c r="E42" s="59">
        <v>0.0</v>
      </c>
      <c r="F42" s="59">
        <v>3.0</v>
      </c>
      <c r="G42" s="59">
        <v>1.0</v>
      </c>
      <c r="H42" s="59">
        <v>3.0</v>
      </c>
      <c r="I42" s="59">
        <v>2.0</v>
      </c>
      <c r="J42" s="59">
        <v>1.0</v>
      </c>
      <c r="K42" s="59">
        <v>1.0</v>
      </c>
      <c r="L42" s="59">
        <v>1.0</v>
      </c>
      <c r="M42" s="59">
        <v>1.0</v>
      </c>
      <c r="N42" s="59">
        <v>1.0</v>
      </c>
      <c r="O42" s="59">
        <v>0.0</v>
      </c>
      <c r="P42" s="59">
        <v>0.0</v>
      </c>
      <c r="Q42" s="59">
        <v>0.0</v>
      </c>
      <c r="R42" s="59">
        <v>1.0</v>
      </c>
      <c r="S42" s="59">
        <v>1.0</v>
      </c>
      <c r="T42" s="59">
        <v>2.0</v>
      </c>
      <c r="U42" s="59">
        <v>1.0</v>
      </c>
      <c r="V42" s="59">
        <v>1.0</v>
      </c>
      <c r="W42" s="59">
        <v>1.0</v>
      </c>
      <c r="X42" s="59">
        <v>1.0</v>
      </c>
      <c r="Y42" s="59">
        <v>1.0</v>
      </c>
      <c r="Z42" s="59">
        <v>1.0</v>
      </c>
      <c r="AA42" s="59">
        <v>1.0</v>
      </c>
      <c r="AB42" s="59">
        <v>3.0</v>
      </c>
      <c r="AC42" s="59">
        <v>3.0</v>
      </c>
      <c r="AD42" s="59">
        <v>1.0</v>
      </c>
      <c r="AE42" s="59">
        <v>2.0</v>
      </c>
      <c r="AF42" s="59">
        <v>3.0</v>
      </c>
      <c r="AG42" s="59">
        <v>0.0</v>
      </c>
      <c r="AH42" s="59">
        <v>0.0</v>
      </c>
      <c r="AI42" s="59">
        <v>0.0</v>
      </c>
      <c r="AJ42" s="59">
        <v>0.0</v>
      </c>
      <c r="AK42" s="59">
        <v>1.0</v>
      </c>
      <c r="AL42" s="59">
        <v>3.0</v>
      </c>
      <c r="AM42" s="59">
        <v>1.0</v>
      </c>
      <c r="AN42" s="59">
        <v>2.0</v>
      </c>
      <c r="AO42" s="59">
        <v>0.0</v>
      </c>
      <c r="AP42" s="59">
        <v>3.0</v>
      </c>
      <c r="AQ42" s="59">
        <v>1.0</v>
      </c>
    </row>
    <row r="43">
      <c r="A43" s="27" t="s">
        <v>103</v>
      </c>
      <c r="B43" s="59">
        <v>2.0</v>
      </c>
      <c r="C43" s="59">
        <v>2.0</v>
      </c>
      <c r="D43" s="59">
        <v>2.0</v>
      </c>
      <c r="E43" s="59">
        <v>1.0</v>
      </c>
      <c r="F43" s="59">
        <v>6.0</v>
      </c>
      <c r="G43" s="59">
        <v>2.0</v>
      </c>
      <c r="H43" s="59">
        <v>3.0</v>
      </c>
      <c r="I43" s="59">
        <v>2.0</v>
      </c>
      <c r="J43" s="59">
        <v>5.0</v>
      </c>
      <c r="K43" s="59">
        <v>3.0</v>
      </c>
      <c r="L43" s="59">
        <v>1.0</v>
      </c>
      <c r="M43" s="59">
        <v>0.0</v>
      </c>
      <c r="N43" s="59">
        <v>1.0</v>
      </c>
      <c r="O43" s="59">
        <v>2.0</v>
      </c>
      <c r="P43" s="59">
        <v>3.0</v>
      </c>
      <c r="Q43" s="59">
        <v>1.0</v>
      </c>
      <c r="R43" s="59">
        <v>2.0</v>
      </c>
      <c r="S43" s="59">
        <v>1.0</v>
      </c>
      <c r="T43" s="59">
        <v>3.0</v>
      </c>
      <c r="U43" s="59">
        <v>2.0</v>
      </c>
      <c r="V43" s="59">
        <v>0.0</v>
      </c>
      <c r="W43" s="59">
        <v>0.0</v>
      </c>
      <c r="X43" s="59">
        <v>0.0</v>
      </c>
      <c r="Y43" s="59">
        <v>3.0</v>
      </c>
      <c r="Z43" s="59">
        <v>0.0</v>
      </c>
      <c r="AA43" s="59">
        <v>0.0</v>
      </c>
      <c r="AB43" s="59">
        <v>4.0</v>
      </c>
      <c r="AC43" s="59">
        <v>2.0</v>
      </c>
      <c r="AD43" s="59">
        <v>4.0</v>
      </c>
      <c r="AE43" s="59">
        <v>2.0</v>
      </c>
      <c r="AF43" s="59">
        <v>6.0</v>
      </c>
      <c r="AG43" s="59">
        <v>2.0</v>
      </c>
      <c r="AH43" s="59">
        <v>3.0</v>
      </c>
      <c r="AI43" s="59">
        <v>3.0</v>
      </c>
      <c r="AJ43" s="59">
        <v>1.0</v>
      </c>
      <c r="AK43" s="59">
        <v>0.0</v>
      </c>
      <c r="AL43" s="59">
        <v>3.0</v>
      </c>
      <c r="AM43" s="59">
        <v>0.0</v>
      </c>
      <c r="AN43" s="59">
        <v>5.0</v>
      </c>
      <c r="AO43" s="59">
        <v>1.0</v>
      </c>
      <c r="AP43" s="59">
        <v>1.0</v>
      </c>
      <c r="AQ43" s="59">
        <v>6.0</v>
      </c>
    </row>
  </sheetData>
  <drawing r:id="rId1"/>
</worksheet>
</file>